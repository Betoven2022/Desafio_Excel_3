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2026\Pessoal 2026\6-JUN\Dio\Desafio\"/>
    </mc:Choice>
  </mc:AlternateContent>
  <xr:revisionPtr revIDLastSave="0" documentId="8_{0B71C578-072F-437D-9493-290EA2482001}" xr6:coauthVersionLast="47" xr6:coauthVersionMax="47" xr10:uidLastSave="{00000000-0000-0000-0000-000000000000}"/>
  <bookViews>
    <workbookView xWindow="38280" yWindow="-120" windowWidth="29040" windowHeight="15720" tabRatio="228" firstSheet="5" activeTab="6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Detalhes2" sheetId="6" state="hidden" r:id="rId4"/>
    <sheet name="C̳álculos" sheetId="3" state="hidden" r:id="rId5"/>
    <sheet name="D̳ashboard" sheetId="4" r:id="rId6"/>
    <sheet name="D̳ashboard Vendas" sheetId="7" r:id="rId7"/>
  </sheets>
  <definedNames>
    <definedName name="SegmentaçãodeDados_Plan">#N/A</definedName>
    <definedName name="SegmentaçãodeDados_Subscription_Type">#N/A</definedName>
  </definedNames>
  <calcPr calcId="191029"/>
  <pivotCaches>
    <pivotCache cacheId="7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23" i="3"/>
  <c r="E47" i="3"/>
</calcChain>
</file>

<file path=xl/sharedStrings.xml><?xml version="1.0" encoding="utf-8"?>
<sst xmlns="http://schemas.openxmlformats.org/spreadsheetml/2006/main" count="2932" uniqueCount="323">
  <si>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</si>
  <si>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</si>
  <si>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</si>
  <si>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</si>
  <si>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</si>
  <si>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</si>
  <si>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</si>
  <si>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</si>
  <si>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</si>
  <si>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</si>
  <si>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</si>
  <si>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</si>
  <si>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</si>
  <si>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</si>
  <si>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</si>
  <si>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</si>
  <si>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</si>
  <si>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</si>
  <si>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</si>
  <si>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</si>
  <si>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</si>
  <si>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</si>
  <si>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</si>
  <si>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</si>
  <si>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</si>
  <si>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</si>
  <si>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</si>
  <si>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</si>
  <si>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</si>
  <si>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</si>
  <si>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</si>
  <si>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</si>
  <si>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</si>
  <si>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</si>
  <si>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</si>
  <si>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</si>
  <si>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</si>
  <si>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</si>
  <si>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</si>
  <si>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</si>
  <si>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</si>
  <si>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</si>
  <si>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</si>
  <si>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</si>
  <si>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</si>
  <si>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</si>
  <si>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</si>
  <si>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</si>
  <si>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</si>
  <si>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</si>
  <si>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</si>
  <si>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</si>
  <si>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</si>
  <si>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</si>
  <si>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</si>
  <si>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</si>
  <si>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</si>
  <si>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</si>
  <si>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</si>
  <si>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</si>
  <si>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</si>
  <si>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</si>
  <si>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</si>
  <si>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</si>
  <si>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</si>
  <si>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</si>
  <si>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</si>
  <si>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</si>
  <si>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</si>
  <si>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</si>
  <si>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</si>
  <si>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</si>
  <si>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</si>
  <si>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</si>
  <si>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</si>
  <si>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</si>
  <si>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</si>
  <si>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</si>
  <si>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</si>
  <si>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</si>
  <si>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</si>
  <si>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</si>
  <si>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</si>
  <si>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</si>
  <si>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</si>
  <si>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</si>
  <si>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</si>
  <si>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</si>
  <si>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</si>
  <si>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</si>
  <si>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</si>
  <si>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</si>
  <si>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</si>
  <si>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</si>
  <si>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</si>
  <si>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</si>
  <si>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</si>
  <si>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</si>
  <si>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</si>
  <si>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</si>
  <si>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</si>
  <si>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</si>
  <si>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</si>
  <si>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</si>
  <si>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</si>
  <si>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</si>
  <si>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</si>
  <si>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</si>
  <si>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</si>
  <si>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</si>
  <si>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</si>
  <si>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</si>
  <si>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</si>
  <si>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</si>
  <si>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</si>
  <si>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</si>
  <si>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</si>
  <si>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</si>
  <si>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</si>
  <si>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</si>
  <si>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</si>
  <si>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</si>
  <si>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</si>
  <si>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</si>
  <si>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</si>
  <si>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</si>
  <si>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</si>
  <si>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</si>
  <si>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</si>
  <si>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</si>
  <si>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</si>
  <si>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</si>
  <si>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</si>
  <si>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</si>
  <si>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</si>
  <si>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</si>
  <si>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</si>
  <si>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</si>
  <si>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</si>
  <si>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</si>
  <si>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</si>
  <si>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</si>
  <si>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</si>
  <si>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</si>
  <si>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</si>
  <si>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</si>
  <si>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</si>
  <si>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</si>
  <si>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</si>
  <si>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</si>
  <si>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</si>
  <si>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</si>
  <si>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</si>
  <si>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</si>
  <si>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</si>
  <si>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</si>
  <si>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</si>
  <si>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</si>
  <si>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</si>
  <si>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</si>
  <si>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</si>
  <si>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</si>
  <si>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</si>
  <si>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</si>
  <si>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</si>
  <si>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</si>
  <si>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</si>
  <si>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</si>
  <si>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</si>
  <si>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</si>
  <si>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</si>
  <si>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</si>
  <si>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</si>
  <si>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</si>
  <si>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</si>
  <si>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</si>
  <si>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</si>
  <si>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</si>
  <si>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</si>
  <si>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</si>
  <si>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</si>
  <si>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</si>
  <si>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</si>
  <si>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</si>
  <si>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</si>
  <si>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</si>
  <si>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</si>
  <si>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</si>
  <si>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</si>
  <si>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</si>
  <si>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</si>
  <si>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</si>
  <si>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</si>
  <si>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</si>
  <si>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</si>
  <si>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</si>
  <si>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</si>
  <si>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</si>
  <si>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</si>
  <si>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</si>
  <si>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</si>
  <si>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</si>
  <si>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</si>
  <si>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</si>
  <si>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</si>
  <si>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</si>
  <si>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</si>
  <si>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</si>
  <si>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</si>
  <si>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</si>
  <si>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</si>
  <si>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</si>
  <si>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</si>
  <si>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</si>
  <si>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</si>
  <si>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</si>
  <si>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</si>
  <si>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</si>
  <si>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</si>
  <si>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</si>
  <si>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</si>
  <si>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</si>
  <si>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</si>
  <si>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</si>
  <si>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</si>
  <si>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</si>
  <si>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</si>
  <si>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</si>
  <si>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</si>
  <si>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</si>
  <si>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</si>
  <si>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</si>
  <si>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</si>
  <si>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</si>
  <si>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</si>
  <si>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</si>
  <si>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</si>
  <si>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</si>
  <si>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</si>
  <si>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</si>
  <si>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</si>
  <si>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</si>
  <si>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</si>
  <si>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</si>
  <si>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</si>
  <si>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</si>
  <si>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</si>
  <si>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</si>
  <si>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</si>
  <si>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</si>
  <si>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</si>
  <si>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</si>
  <si>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</si>
  <si>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</si>
  <si>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</si>
  <si>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</si>
  <si>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</si>
  <si>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</si>
  <si>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</si>
  <si>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</si>
  <si>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</si>
  <si>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</si>
  <si>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</si>
  <si>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</si>
  <si>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</si>
  <si>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</si>
  <si>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</si>
  <si>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</si>
  <si>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</si>
  <si>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</si>
  <si>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</si>
  <si>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</si>
  <si>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</si>
  <si>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</si>
  <si>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</si>
  <si>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</si>
  <si>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</si>
  <si>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</si>
  <si>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</si>
  <si>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</si>
  <si>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</si>
  <si>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</si>
  <si>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</si>
  <si>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</si>
  <si>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</si>
  <si>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</si>
  <si>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</si>
  <si>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</si>
  <si>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</si>
  <si>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</si>
  <si>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</si>
  <si>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</si>
  <si>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</si>
  <si>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</si>
  <si>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</si>
  <si>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</si>
  <si>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</si>
  <si>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</si>
  <si>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</si>
  <si>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</si>
  <si>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</si>
  <si>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</si>
  <si>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</si>
  <si>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</si>
  <si>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</si>
  <si>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</si>
  <si>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</si>
  <si>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</si>
  <si>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</si>
  <si>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</si>
  <si>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</si>
  <si>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</si>
  <si>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</si>
  <si>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</si>
  <si>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</si>
  <si>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</si>
  <si>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Detalhes do Soma de Total Value - Auto Renewal: Yes, Subscription Type: Annual</t>
  </si>
  <si>
    <t>XBOX GAME PASS SUBSCRIPTIONS SALES</t>
  </si>
  <si>
    <t>Pergunta de negocio 3 - Total de vendas do EA Play</t>
  </si>
  <si>
    <t>Soma de EA Play Season Pass</t>
  </si>
  <si>
    <t>Detalhes do Soma de EA Play Season Pass - Subscription Type: Annual</t>
  </si>
  <si>
    <t>Pergunta de negocio 3 -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</si>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</sst>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4" fontId="0" fillId="0" borderId="0" xfId="0" applyNumberFormat="1"/>
    <xf numFmtId="0" fontId="3" fillId="0" borderId="0" xfId="0" applyFont="1"/>
    <xf numFmtId="0" fontId="4" fillId="0" borderId="2" xfId="1" applyFont="1" applyBorder="1"/>
    <xf numFmtId="0" fontId="0" fillId="0" borderId="2" xfId="0" applyBorder="1"/>
    <xf numFmtId="0" fontId="4" fillId="0" borderId="2" xfId="1" applyFont="1" applyBorder="1" applyAlignment="1">
      <alignment horizontal="left" indent="5"/>
    </xf>
    <xf numFmtId="44" fontId="0" fillId="0" borderId="0" xfId="2" applyFont="1"/>
    <xf numFmtId="44" fontId="0" fillId="0" borderId="0" xfId="0" applyNumberFormat="1" applyAlignment="1">
      <alignment horizontal="left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8"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845D3017-F44D-417B-88CB-2DD031B835F1}">
      <tableStyleElement type="wholeTable" dxfId="17"/>
      <tableStyleElement type="headerRow" dxfId="16"/>
    </tableStyle>
  </tableStyles>
  <colors>
    <mruColors>
      <color rgb="FF2AE6B1"/>
      <color rgb="FF22C55E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Dashboard 2.xlsx]C̳álculos!TBL_anual_TOTAL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4A0-9626-C526CF0A7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784527"/>
        <c:axId val="1175801327"/>
      </c:barChart>
      <c:catAx>
        <c:axId val="1175784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5801327"/>
        <c:crosses val="autoZero"/>
        <c:auto val="1"/>
        <c:lblAlgn val="ctr"/>
        <c:lblOffset val="100"/>
        <c:noMultiLvlLbl val="0"/>
      </c:catAx>
      <c:valAx>
        <c:axId val="117580132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7578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Dashboard 2.xlsx]C̳álculos!Tabela dinâmica2</c:name>
    <c:fmtId val="13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C̳álculos!$B$44:$B$49</c:f>
              <c:strCache>
                <c:ptCount val="5"/>
                <c:pt idx="0">
                  <c:v> R$ 15,00 </c:v>
                </c:pt>
                <c:pt idx="1">
                  <c:v> R$ 18,00 </c:v>
                </c:pt>
                <c:pt idx="2">
                  <c:v> R$ 20,00 </c:v>
                </c:pt>
                <c:pt idx="3">
                  <c:v> R$ 25,00 </c:v>
                </c:pt>
                <c:pt idx="4">
                  <c:v> R$ 28,00 </c:v>
                </c:pt>
              </c:strCache>
            </c:strRef>
          </c:cat>
          <c:val>
            <c:numRef>
              <c:f>C̳álculos!$C$44:$C$49</c:f>
              <c:numCache>
                <c:formatCode>_("R$"* #,##0.00_);_("R$"* \(#,##0.00\);_("R$"* "-"??_);_(@_)</c:formatCode>
                <c:ptCount val="5"/>
                <c:pt idx="0">
                  <c:v>465</c:v>
                </c:pt>
                <c:pt idx="1">
                  <c:v>198</c:v>
                </c:pt>
                <c:pt idx="2">
                  <c:v>860</c:v>
                </c:pt>
                <c:pt idx="3">
                  <c:v>250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B-4DE3-990C-B5D541A64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3434816"/>
        <c:axId val="832167952"/>
      </c:barChart>
      <c:catAx>
        <c:axId val="1093434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2167952"/>
        <c:crosses val="autoZero"/>
        <c:auto val="1"/>
        <c:lblAlgn val="ctr"/>
        <c:lblOffset val="100"/>
        <c:noMultiLvlLbl val="0"/>
      </c:catAx>
      <c:valAx>
        <c:axId val="8321679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9343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47625</xdr:colOff>
      <xdr:row>0</xdr:row>
      <xdr:rowOff>83344</xdr:rowOff>
    </xdr:from>
    <xdr:to>
      <xdr:col>2</xdr:col>
      <xdr:colOff>505618</xdr:colOff>
      <xdr:row>2</xdr:row>
      <xdr:rowOff>198335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FE7149-5D8B-410E-ADA7-CA367C0BA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30" t="15356" r="72039" b="18569"/>
        <a:stretch>
          <a:fillRect/>
        </a:stretch>
      </xdr:blipFill>
      <xdr:spPr>
        <a:xfrm>
          <a:off x="1857375" y="83344"/>
          <a:ext cx="708024" cy="781741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</xdr:colOff>
      <xdr:row>7</xdr:row>
      <xdr:rowOff>164308</xdr:rowOff>
    </xdr:from>
    <xdr:to>
      <xdr:col>0</xdr:col>
      <xdr:colOff>1797843</xdr:colOff>
      <xdr:row>14</xdr:row>
      <xdr:rowOff>92076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9B29D95-D115-4344-8410-D80F23993E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8" y="1625602"/>
              <a:ext cx="1765300" cy="14192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180978</xdr:colOff>
      <xdr:row>5</xdr:row>
      <xdr:rowOff>9524</xdr:rowOff>
    </xdr:from>
    <xdr:to>
      <xdr:col>0</xdr:col>
      <xdr:colOff>1678782</xdr:colOff>
      <xdr:row>7</xdr:row>
      <xdr:rowOff>50006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CB4CA178-853A-A4CC-B753-F4A71808D56E}"/>
            </a:ext>
          </a:extLst>
        </xdr:cNvPr>
        <xdr:cNvSpPr/>
      </xdr:nvSpPr>
      <xdr:spPr>
        <a:xfrm>
          <a:off x="180978" y="1223962"/>
          <a:ext cx="1497804" cy="290513"/>
        </a:xfrm>
        <a:prstGeom prst="rect">
          <a:avLst/>
        </a:prstGeom>
        <a:noFill/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 vindo,</a:t>
          </a:r>
          <a:r>
            <a:rPr lang="pt-BR" sz="1100" b="1" baseline="0"/>
            <a:t> Paulo</a:t>
          </a:r>
          <a:endParaRPr lang="pt-BR" sz="1100" b="1"/>
        </a:p>
      </xdr:txBody>
    </xdr:sp>
    <xdr:clientData/>
  </xdr:twoCellAnchor>
  <xdr:twoCellAnchor editAs="absolute">
    <xdr:from>
      <xdr:col>2</xdr:col>
      <xdr:colOff>238124</xdr:colOff>
      <xdr:row>7</xdr:row>
      <xdr:rowOff>224624</xdr:rowOff>
    </xdr:from>
    <xdr:to>
      <xdr:col>12</xdr:col>
      <xdr:colOff>571498</xdr:colOff>
      <xdr:row>16</xdr:row>
      <xdr:rowOff>97621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DDF300D-B831-C444-6C98-3C18DE5A7542}"/>
            </a:ext>
          </a:extLst>
        </xdr:cNvPr>
        <xdr:cNvGrpSpPr/>
      </xdr:nvGrpSpPr>
      <xdr:grpSpPr>
        <a:xfrm>
          <a:off x="2301080" y="1685918"/>
          <a:ext cx="6247606" cy="1721641"/>
          <a:chOff x="2301080" y="1178720"/>
          <a:chExt cx="6247606" cy="1708941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7C1A237-9F70-E268-F203-8C8162FF3522}"/>
              </a:ext>
            </a:extLst>
          </xdr:cNvPr>
          <xdr:cNvSpPr/>
        </xdr:nvSpPr>
        <xdr:spPr>
          <a:xfrm>
            <a:off x="2309812" y="1202528"/>
            <a:ext cx="6218237" cy="1685133"/>
          </a:xfrm>
          <a:prstGeom prst="roundRect">
            <a:avLst>
              <a:gd name="adj" fmla="val 393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/>
          </a:p>
        </xdr:txBody>
      </xdr:sp>
      <xdr:sp macro="" textlink="C̳álculos!E23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24394D79-A0B3-CE6D-FAC4-DEA29FDBFE57}"/>
              </a:ext>
            </a:extLst>
          </xdr:cNvPr>
          <xdr:cNvSpPr/>
        </xdr:nvSpPr>
        <xdr:spPr>
          <a:xfrm>
            <a:off x="4804572" y="1899606"/>
            <a:ext cx="2748755" cy="70643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27B6D71-ACFD-42D0-85C4-032A9C5881E5}" type="TxLink">
              <a:rPr lang="en-US" sz="32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R$ 990,00 </a:t>
            </a:fld>
            <a:endParaRPr lang="pt-BR" sz="3200">
              <a:solidFill>
                <a:srgbClr val="2AE6B1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27C9323C-2760-4B18-96E5-315B1EE8EBE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7480" b="27395"/>
          <a:stretch>
            <a:fillRect/>
          </a:stretch>
        </xdr:blipFill>
        <xdr:spPr>
          <a:xfrm>
            <a:off x="3228976" y="1967671"/>
            <a:ext cx="1309688" cy="573483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9B6B98D2-09A7-9126-0AEA-D525CC890BE3}"/>
              </a:ext>
            </a:extLst>
          </xdr:cNvPr>
          <xdr:cNvSpPr/>
        </xdr:nvSpPr>
        <xdr:spPr>
          <a:xfrm>
            <a:off x="2301080" y="1178720"/>
            <a:ext cx="6247606" cy="476249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14</xdr:col>
      <xdr:colOff>312738</xdr:colOff>
      <xdr:row>7</xdr:row>
      <xdr:rowOff>224624</xdr:rowOff>
    </xdr:from>
    <xdr:to>
      <xdr:col>24</xdr:col>
      <xdr:colOff>478631</xdr:colOff>
      <xdr:row>16</xdr:row>
      <xdr:rowOff>110321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CBB7CFA0-A6C9-B918-3C4F-0A923B27F601}"/>
            </a:ext>
          </a:extLst>
        </xdr:cNvPr>
        <xdr:cNvGrpSpPr/>
      </xdr:nvGrpSpPr>
      <xdr:grpSpPr>
        <a:xfrm>
          <a:off x="9507538" y="1685918"/>
          <a:ext cx="6234906" cy="1731166"/>
          <a:chOff x="9659144" y="1187451"/>
          <a:chExt cx="6241256" cy="1718466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3C4E3ECE-16F7-48A6-AC92-07E8065E2E64}"/>
              </a:ext>
            </a:extLst>
          </xdr:cNvPr>
          <xdr:cNvGrpSpPr/>
        </xdr:nvGrpSpPr>
        <xdr:grpSpPr>
          <a:xfrm>
            <a:off x="9655969" y="1184276"/>
            <a:ext cx="6241256" cy="1721641"/>
            <a:chOff x="2301080" y="1178720"/>
            <a:chExt cx="6247606" cy="1708941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F0488485-74C4-FCD3-E20B-6431D69FF4DA}"/>
                </a:ext>
              </a:extLst>
            </xdr:cNvPr>
            <xdr:cNvSpPr/>
          </xdr:nvSpPr>
          <xdr:spPr>
            <a:xfrm>
              <a:off x="2309812" y="1202528"/>
              <a:ext cx="6218237" cy="1685133"/>
            </a:xfrm>
            <a:prstGeom prst="roundRect">
              <a:avLst>
                <a:gd name="adj" fmla="val 393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200"/>
            </a:p>
          </xdr:txBody>
        </xdr:sp>
        <xdr:sp macro="" textlink="C̳álculos!E34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EB6BB37F-9C2D-4827-6B07-604E9F902DCB}"/>
                </a:ext>
              </a:extLst>
            </xdr:cNvPr>
            <xdr:cNvSpPr/>
          </xdr:nvSpPr>
          <xdr:spPr>
            <a:xfrm>
              <a:off x="4804572" y="1899606"/>
              <a:ext cx="2748755" cy="706438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E334BEE-382D-4E0B-B866-FD94A0F2E08F}" type="TxLink">
                <a:rPr lang="en-US" sz="3600" b="0" i="0" u="none" strike="noStrike">
                  <a:solidFill>
                    <a:srgbClr val="2AE6B1"/>
                  </a:solidFill>
                  <a:latin typeface="Aptos Narrow"/>
                </a:rPr>
                <a:pPr algn="ctr"/>
                <a:t> R$ 1.140,00 </a:t>
              </a:fld>
              <a:endParaRPr lang="pt-BR" sz="3600">
                <a:solidFill>
                  <a:srgbClr val="2AE6B1"/>
                </a:solidFill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28BEA951-BD5F-8197-B51B-BF4DC7B823E9}"/>
                </a:ext>
              </a:extLst>
            </xdr:cNvPr>
            <xdr:cNvSpPr/>
          </xdr:nvSpPr>
          <xdr:spPr>
            <a:xfrm>
              <a:off x="2301080" y="1178720"/>
              <a:ext cx="6247606" cy="476249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695B9E74-FC7D-44DD-95FC-7D582CB880AE}"/>
              </a:ext>
            </a:extLst>
          </xdr:cNvPr>
          <xdr:cNvGrpSpPr/>
        </xdr:nvGrpSpPr>
        <xdr:grpSpPr>
          <a:xfrm>
            <a:off x="10152856" y="1875630"/>
            <a:ext cx="1552651" cy="70167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3D10BA74-2A64-13FD-E5B7-AF2B211F1C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A0A3BE0A-CBEC-7FF8-0301-A227600108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211138</xdr:colOff>
      <xdr:row>19</xdr:row>
      <xdr:rowOff>5575</xdr:rowOff>
    </xdr:from>
    <xdr:to>
      <xdr:col>24</xdr:col>
      <xdr:colOff>467518</xdr:colOff>
      <xdr:row>46</xdr:row>
      <xdr:rowOff>175397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8E5E43E6-93DA-3C3B-8FDC-1958B0848C56}"/>
            </a:ext>
          </a:extLst>
        </xdr:cNvPr>
        <xdr:cNvGrpSpPr/>
      </xdr:nvGrpSpPr>
      <xdr:grpSpPr>
        <a:xfrm>
          <a:off x="2270919" y="3854469"/>
          <a:ext cx="13457237" cy="4991853"/>
          <a:chOff x="2342357" y="3373438"/>
          <a:chExt cx="13457237" cy="5023643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47F504F0-2265-D124-9534-9F68ADBFEAEB}"/>
              </a:ext>
            </a:extLst>
          </xdr:cNvPr>
          <xdr:cNvGrpSpPr/>
        </xdr:nvGrpSpPr>
        <xdr:grpSpPr>
          <a:xfrm>
            <a:off x="2342357" y="3373438"/>
            <a:ext cx="13457237" cy="5023643"/>
            <a:chOff x="3740374" y="1354209"/>
            <a:chExt cx="6193794" cy="3363119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354FF814-D038-6452-0AB1-2D9AAB927D05}"/>
                </a:ext>
              </a:extLst>
            </xdr:cNvPr>
            <xdr:cNvSpPr/>
          </xdr:nvSpPr>
          <xdr:spPr>
            <a:xfrm>
              <a:off x="3740374" y="1354209"/>
              <a:ext cx="6193794" cy="3363119"/>
            </a:xfrm>
            <a:prstGeom prst="roundRect">
              <a:avLst>
                <a:gd name="adj" fmla="val 322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C8D46CD-CB3B-44F1-8D2B-A5CE38E803E2}"/>
                </a:ext>
              </a:extLst>
            </xdr:cNvPr>
            <xdr:cNvGraphicFramePr>
              <a:graphicFrameLocks/>
            </xdr:cNvGraphicFramePr>
          </xdr:nvGraphicFramePr>
          <xdr:xfrm>
            <a:off x="3961032" y="1675608"/>
            <a:ext cx="5528251" cy="274161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BDBF4594-2E74-4325-8AB4-8FDE76708EE6}"/>
              </a:ext>
            </a:extLst>
          </xdr:cNvPr>
          <xdr:cNvSpPr/>
        </xdr:nvSpPr>
        <xdr:spPr>
          <a:xfrm>
            <a:off x="2345531" y="3376613"/>
            <a:ext cx="13454063" cy="476249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440531</xdr:colOff>
      <xdr:row>1</xdr:row>
      <xdr:rowOff>178593</xdr:rowOff>
    </xdr:from>
    <xdr:to>
      <xdr:col>0</xdr:col>
      <xdr:colOff>1261268</xdr:colOff>
      <xdr:row>3</xdr:row>
      <xdr:rowOff>95249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1D314DBA-23DE-4DFE-99AB-5E3B96316441}"/>
            </a:ext>
          </a:extLst>
        </xdr:cNvPr>
        <xdr:cNvSpPr/>
      </xdr:nvSpPr>
      <xdr:spPr>
        <a:xfrm>
          <a:off x="440531" y="345281"/>
          <a:ext cx="820737" cy="76199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252416</xdr:colOff>
      <xdr:row>3</xdr:row>
      <xdr:rowOff>80960</xdr:rowOff>
    </xdr:from>
    <xdr:to>
      <xdr:col>11</xdr:col>
      <xdr:colOff>443706</xdr:colOff>
      <xdr:row>6</xdr:row>
      <xdr:rowOff>15080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A830CBD-60A7-A32F-0B91-EFB7C9489F05}"/>
            </a:ext>
          </a:extLst>
        </xdr:cNvPr>
        <xdr:cNvSpPr/>
      </xdr:nvSpPr>
      <xdr:spPr>
        <a:xfrm>
          <a:off x="2312197" y="1092991"/>
          <a:ext cx="5656259" cy="267495"/>
        </a:xfrm>
        <a:prstGeom prst="rect">
          <a:avLst/>
        </a:prstGeom>
        <a:noFill/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chemeClr val="bg2">
                  <a:lumMod val="50000"/>
                </a:schemeClr>
              </a:solidFill>
            </a:rPr>
            <a:t>Calculation</a:t>
          </a:r>
          <a:r>
            <a:rPr lang="pt-BR" sz="1200" b="1" baseline="0">
              <a:solidFill>
                <a:schemeClr val="bg2">
                  <a:lumMod val="50000"/>
                </a:schemeClr>
              </a:solidFill>
            </a:rPr>
            <a:t> period</a:t>
          </a:r>
          <a:r>
            <a:rPr lang="pt-BR" sz="1200" b="1">
              <a:solidFill>
                <a:schemeClr val="bg2">
                  <a:lumMod val="50000"/>
                </a:schemeClr>
              </a:solidFill>
            </a:rPr>
            <a:t>: 01/01/2024 - 31/12/2024 |</a:t>
          </a:r>
          <a:r>
            <a:rPr lang="pt-BR" sz="1200" b="1" baseline="0">
              <a:solidFill>
                <a:schemeClr val="bg2">
                  <a:lumMod val="50000"/>
                </a:schemeClr>
              </a:solidFill>
            </a:rPr>
            <a:t> Update: 20/12/2024 10:00 00</a:t>
          </a:r>
          <a:endParaRPr lang="pt-BR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47625</xdr:colOff>
      <xdr:row>0</xdr:row>
      <xdr:rowOff>83344</xdr:rowOff>
    </xdr:from>
    <xdr:to>
      <xdr:col>2</xdr:col>
      <xdr:colOff>505618</xdr:colOff>
      <xdr:row>2</xdr:row>
      <xdr:rowOff>198335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46E934-E0A9-4845-9DC3-FF10E68765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30" t="15356" r="72039" b="18569"/>
        <a:stretch>
          <a:fillRect/>
        </a:stretch>
      </xdr:blipFill>
      <xdr:spPr>
        <a:xfrm>
          <a:off x="1857375" y="83344"/>
          <a:ext cx="705643" cy="775391"/>
        </a:xfrm>
        <a:prstGeom prst="rect">
          <a:avLst/>
        </a:prstGeom>
      </xdr:spPr>
    </xdr:pic>
    <xdr:clientData/>
  </xdr:twoCellAnchor>
  <xdr:twoCellAnchor editAs="absolute">
    <xdr:from>
      <xdr:col>0</xdr:col>
      <xdr:colOff>180978</xdr:colOff>
      <xdr:row>5</xdr:row>
      <xdr:rowOff>9524</xdr:rowOff>
    </xdr:from>
    <xdr:to>
      <xdr:col>0</xdr:col>
      <xdr:colOff>1678782</xdr:colOff>
      <xdr:row>7</xdr:row>
      <xdr:rowOff>50006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15202AC-8CE9-4B89-9CD7-636E9A8FD802}"/>
            </a:ext>
          </a:extLst>
        </xdr:cNvPr>
        <xdr:cNvSpPr/>
      </xdr:nvSpPr>
      <xdr:spPr>
        <a:xfrm>
          <a:off x="180978" y="1209674"/>
          <a:ext cx="1497804" cy="294482"/>
        </a:xfrm>
        <a:prstGeom prst="rect">
          <a:avLst/>
        </a:prstGeom>
        <a:noFill/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 vindo,</a:t>
          </a:r>
          <a:r>
            <a:rPr lang="pt-BR" sz="1100" b="1" baseline="0"/>
            <a:t> Paulo</a:t>
          </a:r>
          <a:endParaRPr lang="pt-BR" sz="1100" b="1"/>
        </a:p>
      </xdr:txBody>
    </xdr:sp>
    <xdr:clientData/>
  </xdr:twoCellAnchor>
  <xdr:twoCellAnchor editAs="absolute">
    <xdr:from>
      <xdr:col>2</xdr:col>
      <xdr:colOff>256380</xdr:colOff>
      <xdr:row>6</xdr:row>
      <xdr:rowOff>114293</xdr:rowOff>
    </xdr:from>
    <xdr:to>
      <xdr:col>8</xdr:col>
      <xdr:colOff>511968</xdr:colOff>
      <xdr:row>14</xdr:row>
      <xdr:rowOff>59531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DDB9FE70-1348-41CE-BAE9-7192E78AE661}"/>
            </a:ext>
          </a:extLst>
        </xdr:cNvPr>
        <xdr:cNvGrpSpPr/>
      </xdr:nvGrpSpPr>
      <xdr:grpSpPr>
        <a:xfrm>
          <a:off x="2319336" y="1459699"/>
          <a:ext cx="3895726" cy="1552582"/>
          <a:chOff x="2301080" y="1178720"/>
          <a:chExt cx="6247606" cy="1708941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DF7100A7-FDDC-28AA-6522-2CE721891E67}"/>
              </a:ext>
            </a:extLst>
          </xdr:cNvPr>
          <xdr:cNvSpPr/>
        </xdr:nvSpPr>
        <xdr:spPr>
          <a:xfrm>
            <a:off x="2309812" y="1202528"/>
            <a:ext cx="6218237" cy="1685133"/>
          </a:xfrm>
          <a:prstGeom prst="roundRect">
            <a:avLst>
              <a:gd name="adj" fmla="val 393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/>
          </a:p>
        </xdr:txBody>
      </xdr:sp>
      <xdr:sp macro="" textlink="C̳álculos!E47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1AF84CB-BF73-775B-400E-C53179BA0E27}"/>
              </a:ext>
            </a:extLst>
          </xdr:cNvPr>
          <xdr:cNvSpPr/>
        </xdr:nvSpPr>
        <xdr:spPr>
          <a:xfrm>
            <a:off x="3527263" y="1860290"/>
            <a:ext cx="3742408" cy="706438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1C6CD9D-1F8B-45A8-9D5E-30A3B18A1524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t> R$ 1.801,00 </a:t>
            </a:fld>
            <a:endParaRPr lang="pt-BR" sz="3200">
              <a:solidFill>
                <a:srgbClr val="22C55E"/>
              </a:solidFill>
            </a:endParaRPr>
          </a:p>
        </xdr:txBody>
      </xdr:sp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ADE33465-1E77-DA11-BB5E-F28156607F10}"/>
              </a:ext>
            </a:extLst>
          </xdr:cNvPr>
          <xdr:cNvSpPr/>
        </xdr:nvSpPr>
        <xdr:spPr>
          <a:xfrm>
            <a:off x="2301080" y="1178720"/>
            <a:ext cx="6247606" cy="476249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DE VENDAS PLAN</a:t>
            </a:r>
          </a:p>
        </xdr:txBody>
      </xdr:sp>
    </xdr:grpSp>
    <xdr:clientData/>
  </xdr:twoCellAnchor>
  <xdr:twoCellAnchor editAs="absolute">
    <xdr:from>
      <xdr:col>0</xdr:col>
      <xdr:colOff>440531</xdr:colOff>
      <xdr:row>1</xdr:row>
      <xdr:rowOff>178593</xdr:rowOff>
    </xdr:from>
    <xdr:to>
      <xdr:col>0</xdr:col>
      <xdr:colOff>1261268</xdr:colOff>
      <xdr:row>3</xdr:row>
      <xdr:rowOff>95249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BBDBE6A1-35CD-4BDD-A5DE-EA8F61E8CDB8}"/>
            </a:ext>
          </a:extLst>
        </xdr:cNvPr>
        <xdr:cNvSpPr/>
      </xdr:nvSpPr>
      <xdr:spPr>
        <a:xfrm>
          <a:off x="440531" y="343693"/>
          <a:ext cx="820737" cy="754856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252416</xdr:colOff>
      <xdr:row>3</xdr:row>
      <xdr:rowOff>80960</xdr:rowOff>
    </xdr:from>
    <xdr:to>
      <xdr:col>11</xdr:col>
      <xdr:colOff>443706</xdr:colOff>
      <xdr:row>6</xdr:row>
      <xdr:rowOff>15080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98C292C3-0DCB-4329-A935-5556C394A1A2}"/>
            </a:ext>
          </a:extLst>
        </xdr:cNvPr>
        <xdr:cNvSpPr/>
      </xdr:nvSpPr>
      <xdr:spPr>
        <a:xfrm>
          <a:off x="2309816" y="1084260"/>
          <a:ext cx="5677690" cy="264320"/>
        </a:xfrm>
        <a:prstGeom prst="rect">
          <a:avLst/>
        </a:prstGeom>
        <a:noFill/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chemeClr val="bg2">
                  <a:lumMod val="50000"/>
                </a:schemeClr>
              </a:solidFill>
            </a:rPr>
            <a:t>Calculation</a:t>
          </a:r>
          <a:r>
            <a:rPr lang="pt-BR" sz="1200" b="1" baseline="0">
              <a:solidFill>
                <a:schemeClr val="bg2">
                  <a:lumMod val="50000"/>
                </a:schemeClr>
              </a:solidFill>
            </a:rPr>
            <a:t> period</a:t>
          </a:r>
          <a:r>
            <a:rPr lang="pt-BR" sz="1200" b="1">
              <a:solidFill>
                <a:schemeClr val="bg2">
                  <a:lumMod val="50000"/>
                </a:schemeClr>
              </a:solidFill>
            </a:rPr>
            <a:t>: 01/02/2026 - 30/06/2026 |</a:t>
          </a:r>
          <a:r>
            <a:rPr lang="pt-BR" sz="1200" b="1" baseline="0">
              <a:solidFill>
                <a:schemeClr val="bg2">
                  <a:lumMod val="50000"/>
                </a:schemeClr>
              </a:solidFill>
            </a:rPr>
            <a:t> Update: 03/07/2026 6:00 00</a:t>
          </a:r>
          <a:endParaRPr lang="pt-BR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23813</xdr:colOff>
      <xdr:row>7</xdr:row>
      <xdr:rowOff>335757</xdr:rowOff>
    </xdr:from>
    <xdr:to>
      <xdr:col>0</xdr:col>
      <xdr:colOff>1797844</xdr:colOff>
      <xdr:row>16</xdr:row>
      <xdr:rowOff>115888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Plan">
              <a:extLst>
                <a:ext uri="{FF2B5EF4-FFF2-40B4-BE49-F238E27FC236}">
                  <a16:creationId xmlns:a16="http://schemas.microsoft.com/office/drawing/2014/main" id="{84F2904A-16DC-4733-9197-456520A171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88" y="1797051"/>
              <a:ext cx="1774031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241300</xdr:colOff>
      <xdr:row>15</xdr:row>
      <xdr:rowOff>59531</xdr:rowOff>
    </xdr:from>
    <xdr:to>
      <xdr:col>18</xdr:col>
      <xdr:colOff>47625</xdr:colOff>
      <xdr:row>47</xdr:row>
      <xdr:rowOff>41275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8EE9ACE8-FBFB-AB3F-CFAF-B269A8D86A80}"/>
            </a:ext>
          </a:extLst>
        </xdr:cNvPr>
        <xdr:cNvGrpSpPr/>
      </xdr:nvGrpSpPr>
      <xdr:grpSpPr>
        <a:xfrm>
          <a:off x="2297906" y="3190875"/>
          <a:ext cx="9367044" cy="5699919"/>
          <a:chOff x="2280444" y="3857624"/>
          <a:chExt cx="9351963" cy="5664201"/>
        </a:xfrm>
      </xdr:grpSpPr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067B35C0-767C-4370-A9E3-4C40729EE1C2}"/>
              </a:ext>
            </a:extLst>
          </xdr:cNvPr>
          <xdr:cNvSpPr/>
        </xdr:nvSpPr>
        <xdr:spPr>
          <a:xfrm>
            <a:off x="2294731" y="3857626"/>
            <a:ext cx="9337676" cy="5664199"/>
          </a:xfrm>
          <a:prstGeom prst="roundRect">
            <a:avLst>
              <a:gd name="adj" fmla="val 133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4612304B-5ACA-BE56-527E-3B60FC618014}"/>
              </a:ext>
            </a:extLst>
          </xdr:cNvPr>
          <xdr:cNvSpPr/>
        </xdr:nvSpPr>
        <xdr:spPr>
          <a:xfrm>
            <a:off x="2280444" y="3857624"/>
            <a:ext cx="9348788" cy="46688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DE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VENDAS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29" name="Gráfico 28">
            <a:extLst>
              <a:ext uri="{FF2B5EF4-FFF2-40B4-BE49-F238E27FC236}">
                <a16:creationId xmlns:a16="http://schemas.microsoft.com/office/drawing/2014/main" id="{EB189050-4176-4D5D-8EA8-463116CB282F}"/>
              </a:ext>
            </a:extLst>
          </xdr:cNvPr>
          <xdr:cNvGraphicFramePr>
            <a:graphicFrameLocks/>
          </xdr:cNvGraphicFramePr>
        </xdr:nvGraphicFramePr>
        <xdr:xfrm>
          <a:off x="3324223" y="4476750"/>
          <a:ext cx="7700964" cy="4822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ácio Gregório" refreshedDate="46206.257159953704" createdVersion="8" refreshedVersion="8" minRefreshableVersion="3" recordCount="295" xr:uid="{E181DB44-E299-4562-984C-0A94CB17D8E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7621483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x v="0"/>
  </r>
  <r>
    <n v="3232"/>
    <s v="Maria Oliveira"/>
    <x v="1"/>
    <d v="2024-01-15T00:00:00"/>
    <x v="1"/>
    <n v="5"/>
    <x v="1"/>
    <s v="No"/>
    <s v="-"/>
    <s v="No"/>
    <n v="0"/>
    <n v="0"/>
    <x v="1"/>
  </r>
  <r>
    <n v="3233"/>
    <s v="Lucas Fernandes"/>
    <x v="2"/>
    <d v="2024-02-10T00:00:00"/>
    <x v="0"/>
    <n v="10"/>
    <x v="2"/>
    <s v="No"/>
    <s v="-"/>
    <s v="Yes"/>
    <n v="20"/>
    <n v="10"/>
    <x v="2"/>
  </r>
  <r>
    <n v="3234"/>
    <s v="Ana Souza"/>
    <x v="0"/>
    <d v="2024-02-20T00:00:00"/>
    <x v="1"/>
    <n v="15"/>
    <x v="0"/>
    <s v="Yes"/>
    <n v="30"/>
    <s v="Yes"/>
    <n v="20"/>
    <n v="3"/>
    <x v="3"/>
  </r>
  <r>
    <n v="3235"/>
    <s v="Pedro Gonçalves"/>
    <x v="1"/>
    <d v="2024-03-05T00:00:00"/>
    <x v="0"/>
    <n v="5"/>
    <x v="0"/>
    <s v="No"/>
    <s v="-"/>
    <s v="No"/>
    <n v="0"/>
    <n v="1"/>
    <x v="4"/>
  </r>
  <r>
    <n v="3236"/>
    <s v="Felipe Costa"/>
    <x v="2"/>
    <d v="2024-03-02T00:00:00"/>
    <x v="1"/>
    <n v="10"/>
    <x v="0"/>
    <s v="No"/>
    <s v="-"/>
    <s v="Yes"/>
    <n v="20"/>
    <n v="2"/>
    <x v="5"/>
  </r>
  <r>
    <n v="3237"/>
    <s v="Camila Ribeiro"/>
    <x v="0"/>
    <d v="2024-03-03T00:00:00"/>
    <x v="0"/>
    <n v="15"/>
    <x v="2"/>
    <s v="Yes"/>
    <n v="30"/>
    <s v="Yes"/>
    <n v="20"/>
    <n v="10"/>
    <x v="6"/>
  </r>
  <r>
    <n v="3238"/>
    <s v="André Mendes"/>
    <x v="1"/>
    <d v="2024-03-04T00:00:00"/>
    <x v="0"/>
    <n v="5"/>
    <x v="1"/>
    <s v="No"/>
    <s v="-"/>
    <s v="No"/>
    <n v="0"/>
    <n v="0"/>
    <x v="1"/>
  </r>
  <r>
    <n v="3239"/>
    <s v="Sofia Almeida"/>
    <x v="0"/>
    <d v="2024-03-05T00:00:00"/>
    <x v="1"/>
    <n v="15"/>
    <x v="0"/>
    <s v="Yes"/>
    <n v="30"/>
    <s v="Yes"/>
    <n v="20"/>
    <n v="5"/>
    <x v="0"/>
  </r>
  <r>
    <n v="3240"/>
    <s v="Bruno Martins"/>
    <x v="2"/>
    <d v="2024-03-06T00:00:00"/>
    <x v="0"/>
    <n v="10"/>
    <x v="2"/>
    <s v="No"/>
    <s v="-"/>
    <s v="Yes"/>
    <n v="20"/>
    <n v="15"/>
    <x v="7"/>
  </r>
  <r>
    <n v="3241"/>
    <s v="Rita Castro"/>
    <x v="1"/>
    <d v="2024-03-07T00:00:00"/>
    <x v="1"/>
    <n v="5"/>
    <x v="0"/>
    <s v="No"/>
    <s v="-"/>
    <s v="No"/>
    <n v="0"/>
    <n v="1"/>
    <x v="4"/>
  </r>
  <r>
    <n v="3242"/>
    <s v="Marco Túlio"/>
    <x v="0"/>
    <d v="2024-03-08T00:00:00"/>
    <x v="0"/>
    <n v="15"/>
    <x v="1"/>
    <s v="Yes"/>
    <n v="30"/>
    <s v="Yes"/>
    <n v="20"/>
    <n v="20"/>
    <x v="8"/>
  </r>
  <r>
    <n v="3243"/>
    <s v="Lívia Silveira"/>
    <x v="2"/>
    <d v="2024-03-09T00:00:00"/>
    <x v="1"/>
    <n v="10"/>
    <x v="0"/>
    <s v="No"/>
    <s v="-"/>
    <s v="Yes"/>
    <n v="20"/>
    <n v="10"/>
    <x v="2"/>
  </r>
  <r>
    <n v="3244"/>
    <s v="Diogo Sousa"/>
    <x v="1"/>
    <d v="2024-03-10T00:00:00"/>
    <x v="0"/>
    <n v="5"/>
    <x v="2"/>
    <s v="No"/>
    <s v="-"/>
    <s v="No"/>
    <n v="0"/>
    <n v="0"/>
    <x v="1"/>
  </r>
  <r>
    <n v="3245"/>
    <s v="Fernanda Lima"/>
    <x v="0"/>
    <d v="2024-03-11T00:00:00"/>
    <x v="1"/>
    <n v="15"/>
    <x v="0"/>
    <s v="Yes"/>
    <n v="30"/>
    <s v="Yes"/>
    <n v="20"/>
    <n v="8"/>
    <x v="9"/>
  </r>
  <r>
    <n v="3246"/>
    <s v="Caio Pereira"/>
    <x v="2"/>
    <d v="2024-03-12T00:00:00"/>
    <x v="0"/>
    <n v="10"/>
    <x v="1"/>
    <s v="No"/>
    <s v="-"/>
    <s v="Yes"/>
    <n v="20"/>
    <n v="12"/>
    <x v="10"/>
  </r>
  <r>
    <n v="3247"/>
    <s v="Beatriz Gomes"/>
    <x v="1"/>
    <d v="2024-03-13T00:00:00"/>
    <x v="1"/>
    <n v="5"/>
    <x v="0"/>
    <s v="No"/>
    <s v="-"/>
    <s v="No"/>
    <n v="0"/>
    <n v="2"/>
    <x v="11"/>
  </r>
  <r>
    <n v="3248"/>
    <s v="Cesar Oliveira"/>
    <x v="0"/>
    <d v="2024-03-14T00:00:00"/>
    <x v="0"/>
    <n v="15"/>
    <x v="2"/>
    <s v="Yes"/>
    <n v="30"/>
    <s v="Yes"/>
    <n v="20"/>
    <n v="7"/>
    <x v="12"/>
  </r>
  <r>
    <n v="3249"/>
    <s v="Débora Machado"/>
    <x v="2"/>
    <d v="2024-03-15T00:00:00"/>
    <x v="1"/>
    <n v="10"/>
    <x v="0"/>
    <s v="No"/>
    <s v="-"/>
    <s v="Yes"/>
    <n v="20"/>
    <n v="5"/>
    <x v="13"/>
  </r>
  <r>
    <n v="3250"/>
    <s v="Eduardo Vargas"/>
    <x v="1"/>
    <d v="2024-03-16T00:00:00"/>
    <x v="0"/>
    <n v="5"/>
    <x v="1"/>
    <s v="No"/>
    <s v="-"/>
    <s v="No"/>
    <n v="0"/>
    <n v="0"/>
    <x v="1"/>
  </r>
  <r>
    <n v="3251"/>
    <s v="Gabriela Santos"/>
    <x v="0"/>
    <d v="2024-03-17T00:00:00"/>
    <x v="1"/>
    <n v="15"/>
    <x v="0"/>
    <s v="Yes"/>
    <n v="30"/>
    <s v="Yes"/>
    <n v="20"/>
    <n v="3"/>
    <x v="3"/>
  </r>
  <r>
    <n v="3252"/>
    <s v="Henrique Dias"/>
    <x v="2"/>
    <d v="2024-03-18T00:00:00"/>
    <x v="0"/>
    <n v="10"/>
    <x v="2"/>
    <s v="No"/>
    <s v="-"/>
    <s v="Yes"/>
    <n v="20"/>
    <n v="15"/>
    <x v="7"/>
  </r>
  <r>
    <n v="3253"/>
    <s v="Isabela Moreira"/>
    <x v="1"/>
    <d v="2024-03-19T00:00:00"/>
    <x v="1"/>
    <n v="5"/>
    <x v="0"/>
    <s v="No"/>
    <s v="-"/>
    <s v="No"/>
    <n v="0"/>
    <n v="1"/>
    <x v="4"/>
  </r>
  <r>
    <n v="3254"/>
    <s v="Joaquim Barbosa"/>
    <x v="0"/>
    <d v="2024-03-20T00:00:00"/>
    <x v="0"/>
    <n v="15"/>
    <x v="1"/>
    <s v="Yes"/>
    <n v="30"/>
    <s v="Yes"/>
    <n v="20"/>
    <n v="20"/>
    <x v="8"/>
  </r>
  <r>
    <n v="3255"/>
    <s v="Lara Rocha"/>
    <x v="2"/>
    <d v="2024-03-21T00:00:00"/>
    <x v="1"/>
    <n v="10"/>
    <x v="0"/>
    <s v="No"/>
    <s v="-"/>
    <s v="Yes"/>
    <n v="20"/>
    <n v="10"/>
    <x v="2"/>
  </r>
  <r>
    <n v="3256"/>
    <s v="Matheus Silva"/>
    <x v="1"/>
    <d v="2024-03-22T00:00:00"/>
    <x v="0"/>
    <n v="5"/>
    <x v="2"/>
    <s v="No"/>
    <s v="-"/>
    <s v="No"/>
    <n v="0"/>
    <n v="0"/>
    <x v="1"/>
  </r>
  <r>
    <n v="3257"/>
    <s v="Nicole Costa"/>
    <x v="0"/>
    <d v="2024-03-23T00:00:00"/>
    <x v="1"/>
    <n v="15"/>
    <x v="0"/>
    <s v="Yes"/>
    <n v="30"/>
    <s v="Yes"/>
    <n v="20"/>
    <n v="5"/>
    <x v="0"/>
  </r>
  <r>
    <n v="3258"/>
    <s v="Otávio Mendonça"/>
    <x v="2"/>
    <d v="2024-03-24T00:00:00"/>
    <x v="0"/>
    <n v="10"/>
    <x v="1"/>
    <s v="No"/>
    <s v="-"/>
    <s v="Yes"/>
    <n v="20"/>
    <n v="15"/>
    <x v="7"/>
  </r>
  <r>
    <n v="3259"/>
    <s v="Paula Ferreira"/>
    <x v="1"/>
    <d v="2024-03-25T00:00:00"/>
    <x v="1"/>
    <n v="5"/>
    <x v="0"/>
    <s v="No"/>
    <s v="-"/>
    <s v="No"/>
    <n v="0"/>
    <n v="1"/>
    <x v="4"/>
  </r>
  <r>
    <n v="3260"/>
    <s v="Raquel Alves"/>
    <x v="0"/>
    <d v="2024-03-26T00:00:00"/>
    <x v="0"/>
    <n v="15"/>
    <x v="2"/>
    <s v="Yes"/>
    <n v="30"/>
    <s v="Yes"/>
    <n v="20"/>
    <n v="7"/>
    <x v="12"/>
  </r>
  <r>
    <n v="3261"/>
    <s v="Samuel Pires"/>
    <x v="2"/>
    <d v="2024-03-27T00:00:00"/>
    <x v="1"/>
    <n v="10"/>
    <x v="0"/>
    <s v="No"/>
    <s v="-"/>
    <s v="Yes"/>
    <n v="20"/>
    <n v="10"/>
    <x v="2"/>
  </r>
  <r>
    <n v="3262"/>
    <s v="Tânia Barros"/>
    <x v="1"/>
    <d v="2024-03-28T00:00:00"/>
    <x v="0"/>
    <n v="5"/>
    <x v="1"/>
    <s v="No"/>
    <s v="-"/>
    <s v="No"/>
    <n v="0"/>
    <n v="0"/>
    <x v="1"/>
  </r>
  <r>
    <n v="3263"/>
    <s v="Vinicius Lima"/>
    <x v="0"/>
    <d v="2024-03-29T00:00:00"/>
    <x v="1"/>
    <n v="15"/>
    <x v="0"/>
    <s v="Yes"/>
    <n v="30"/>
    <s v="Yes"/>
    <n v="20"/>
    <n v="3"/>
    <x v="3"/>
  </r>
  <r>
    <n v="3264"/>
    <s v="Yasmin Teixeira"/>
    <x v="2"/>
    <d v="2024-03-30T00:00:00"/>
    <x v="0"/>
    <n v="10"/>
    <x v="2"/>
    <s v="No"/>
    <s v="-"/>
    <s v="Yes"/>
    <n v="20"/>
    <n v="15"/>
    <x v="7"/>
  </r>
  <r>
    <n v="3265"/>
    <s v="Zé Carlos"/>
    <x v="1"/>
    <d v="2024-03-31T00:00:00"/>
    <x v="1"/>
    <n v="5"/>
    <x v="0"/>
    <s v="No"/>
    <s v="-"/>
    <s v="No"/>
    <n v="0"/>
    <n v="1"/>
    <x v="4"/>
  </r>
  <r>
    <n v="3266"/>
    <s v="Amanda Nogueira"/>
    <x v="1"/>
    <d v="2024-04-01T00:00:00"/>
    <x v="0"/>
    <n v="5"/>
    <x v="0"/>
    <s v="No"/>
    <s v="-"/>
    <s v="No"/>
    <n v="0"/>
    <n v="0"/>
    <x v="1"/>
  </r>
  <r>
    <n v="3267"/>
    <s v="Bruno Cavalheiro"/>
    <x v="0"/>
    <d v="2024-04-02T00:00:00"/>
    <x v="1"/>
    <n v="15"/>
    <x v="2"/>
    <s v="Yes"/>
    <n v="30"/>
    <s v="Yes"/>
    <n v="20"/>
    <n v="7"/>
    <x v="12"/>
  </r>
  <r>
    <n v="3268"/>
    <s v="Carla Dias"/>
    <x v="2"/>
    <d v="2024-04-03T00:00:00"/>
    <x v="0"/>
    <n v="10"/>
    <x v="1"/>
    <s v="No"/>
    <s v="-"/>
    <s v="Yes"/>
    <n v="20"/>
    <n v="10"/>
    <x v="2"/>
  </r>
  <r>
    <n v="3269"/>
    <s v="Diego Fontes"/>
    <x v="1"/>
    <d v="2024-04-04T00:00:00"/>
    <x v="1"/>
    <n v="5"/>
    <x v="2"/>
    <s v="No"/>
    <s v="-"/>
    <s v="No"/>
    <n v="0"/>
    <n v="1"/>
    <x v="4"/>
  </r>
  <r>
    <n v="3270"/>
    <s v="Eunice Lima"/>
    <x v="0"/>
    <d v="2024-04-05T00:00:00"/>
    <x v="0"/>
    <n v="15"/>
    <x v="0"/>
    <s v="Yes"/>
    <n v="30"/>
    <s v="Yes"/>
    <n v="20"/>
    <n v="15"/>
    <x v="14"/>
  </r>
  <r>
    <n v="3271"/>
    <s v="Fábio Martins"/>
    <x v="2"/>
    <d v="2024-04-06T00:00:00"/>
    <x v="1"/>
    <n v="10"/>
    <x v="0"/>
    <s v="No"/>
    <s v="-"/>
    <s v="Yes"/>
    <n v="20"/>
    <n v="5"/>
    <x v="13"/>
  </r>
  <r>
    <n v="3272"/>
    <s v="Gisele Araújo"/>
    <x v="1"/>
    <d v="2024-04-07T00:00:00"/>
    <x v="0"/>
    <n v="5"/>
    <x v="1"/>
    <s v="No"/>
    <s v="-"/>
    <s v="No"/>
    <n v="0"/>
    <n v="0"/>
    <x v="1"/>
  </r>
  <r>
    <n v="3273"/>
    <s v="Hélio Castro"/>
    <x v="0"/>
    <d v="2024-04-08T00:00:00"/>
    <x v="1"/>
    <n v="15"/>
    <x v="2"/>
    <s v="Yes"/>
    <n v="30"/>
    <s v="Yes"/>
    <n v="20"/>
    <n v="20"/>
    <x v="8"/>
  </r>
  <r>
    <n v="3274"/>
    <s v="Ingrid Menezes"/>
    <x v="2"/>
    <d v="2024-04-09T00:00:00"/>
    <x v="0"/>
    <n v="10"/>
    <x v="2"/>
    <s v="No"/>
    <s v="-"/>
    <s v="Yes"/>
    <n v="20"/>
    <n v="12"/>
    <x v="10"/>
  </r>
  <r>
    <n v="3275"/>
    <s v="Jorge Baptista"/>
    <x v="1"/>
    <d v="2024-04-10T00:00:00"/>
    <x v="1"/>
    <n v="5"/>
    <x v="0"/>
    <s v="No"/>
    <s v="-"/>
    <s v="No"/>
    <n v="0"/>
    <n v="2"/>
    <x v="11"/>
  </r>
  <r>
    <n v="3276"/>
    <s v="Kléber Oliveira"/>
    <x v="0"/>
    <d v="2024-04-11T00:00:00"/>
    <x v="0"/>
    <n v="15"/>
    <x v="1"/>
    <s v="Yes"/>
    <n v="30"/>
    <s v="Yes"/>
    <n v="20"/>
    <n v="5"/>
    <x v="0"/>
  </r>
  <r>
    <n v="3277"/>
    <s v="Luciana Freitas"/>
    <x v="2"/>
    <d v="2024-04-12T00:00:00"/>
    <x v="1"/>
    <n v="10"/>
    <x v="0"/>
    <s v="No"/>
    <s v="-"/>
    <s v="Yes"/>
    <n v="20"/>
    <n v="10"/>
    <x v="2"/>
  </r>
  <r>
    <n v="3278"/>
    <s v="Márcia Eller"/>
    <x v="1"/>
    <d v="2024-04-13T00:00:00"/>
    <x v="0"/>
    <n v="5"/>
    <x v="2"/>
    <s v="No"/>
    <s v="-"/>
    <s v="No"/>
    <n v="0"/>
    <n v="0"/>
    <x v="1"/>
  </r>
  <r>
    <n v="3279"/>
    <s v="Nilo Peçanha"/>
    <x v="0"/>
    <d v="2024-04-14T00:00:00"/>
    <x v="1"/>
    <n v="15"/>
    <x v="0"/>
    <s v="Yes"/>
    <n v="30"/>
    <s v="Yes"/>
    <n v="20"/>
    <n v="3"/>
    <x v="3"/>
  </r>
  <r>
    <n v="3280"/>
    <s v="Oscar Neves"/>
    <x v="2"/>
    <d v="2024-04-15T00:00:00"/>
    <x v="0"/>
    <n v="10"/>
    <x v="1"/>
    <s v="No"/>
    <s v="-"/>
    <s v="Yes"/>
    <n v="20"/>
    <n v="15"/>
    <x v="7"/>
  </r>
  <r>
    <n v="3281"/>
    <s v="Patrícia Soares"/>
    <x v="1"/>
    <d v="2024-04-16T00:00:00"/>
    <x v="1"/>
    <n v="5"/>
    <x v="0"/>
    <s v="No"/>
    <s v="-"/>
    <s v="No"/>
    <n v="0"/>
    <n v="1"/>
    <x v="4"/>
  </r>
  <r>
    <n v="3282"/>
    <s v="Quirino Gonçalves"/>
    <x v="0"/>
    <d v="2024-04-17T00:00:00"/>
    <x v="0"/>
    <n v="15"/>
    <x v="2"/>
    <s v="Yes"/>
    <n v="30"/>
    <s v="Yes"/>
    <n v="20"/>
    <n v="7"/>
    <x v="12"/>
  </r>
  <r>
    <n v="3283"/>
    <s v="Raul Machado"/>
    <x v="2"/>
    <d v="2024-04-18T00:00:00"/>
    <x v="1"/>
    <n v="10"/>
    <x v="0"/>
    <s v="No"/>
    <s v="-"/>
    <s v="Yes"/>
    <n v="20"/>
    <n v="10"/>
    <x v="2"/>
  </r>
  <r>
    <n v="3284"/>
    <s v="Sônia Lobo"/>
    <x v="1"/>
    <d v="2024-04-19T00:00:00"/>
    <x v="0"/>
    <n v="5"/>
    <x v="1"/>
    <s v="No"/>
    <s v="-"/>
    <s v="No"/>
    <n v="0"/>
    <n v="0"/>
    <x v="1"/>
  </r>
  <r>
    <n v="3285"/>
    <s v="Tiago Ramos"/>
    <x v="0"/>
    <d v="2024-04-20T00:00:00"/>
    <x v="1"/>
    <n v="15"/>
    <x v="0"/>
    <s v="Yes"/>
    <n v="30"/>
    <s v="Yes"/>
    <n v="20"/>
    <n v="20"/>
    <x v="8"/>
  </r>
  <r>
    <n v="3286"/>
    <s v="Ugo Pires"/>
    <x v="2"/>
    <d v="2024-04-21T00:00:00"/>
    <x v="0"/>
    <n v="10"/>
    <x v="2"/>
    <s v="No"/>
    <s v="-"/>
    <s v="Yes"/>
    <n v="20"/>
    <n v="15"/>
    <x v="7"/>
  </r>
  <r>
    <n v="3287"/>
    <s v="Valéria Nobre"/>
    <x v="1"/>
    <d v="2024-04-22T00:00:00"/>
    <x v="1"/>
    <n v="5"/>
    <x v="0"/>
    <s v="No"/>
    <s v="-"/>
    <s v="No"/>
    <n v="0"/>
    <n v="1"/>
    <x v="4"/>
  </r>
  <r>
    <n v="3288"/>
    <s v="William Siqueira"/>
    <x v="0"/>
    <d v="2024-04-23T00:00:00"/>
    <x v="0"/>
    <n v="15"/>
    <x v="1"/>
    <s v="Yes"/>
    <n v="30"/>
    <s v="Yes"/>
    <n v="20"/>
    <n v="3"/>
    <x v="3"/>
  </r>
  <r>
    <n v="3289"/>
    <s v="Xuxa Meneghel"/>
    <x v="2"/>
    <d v="2024-04-24T00:00:00"/>
    <x v="1"/>
    <n v="10"/>
    <x v="0"/>
    <s v="No"/>
    <s v="-"/>
    <s v="Yes"/>
    <n v="20"/>
    <n v="10"/>
    <x v="2"/>
  </r>
  <r>
    <n v="3290"/>
    <s v="Yara Figueiredo"/>
    <x v="1"/>
    <d v="2024-04-25T00:00:00"/>
    <x v="0"/>
    <n v="5"/>
    <x v="2"/>
    <s v="No"/>
    <s v="-"/>
    <s v="No"/>
    <n v="0"/>
    <n v="0"/>
    <x v="1"/>
  </r>
  <r>
    <n v="3291"/>
    <s v="Zacarias Alves"/>
    <x v="0"/>
    <d v="2024-04-26T00:00:00"/>
    <x v="1"/>
    <n v="15"/>
    <x v="0"/>
    <s v="Yes"/>
    <n v="30"/>
    <s v="Yes"/>
    <n v="20"/>
    <n v="5"/>
    <x v="0"/>
  </r>
  <r>
    <n v="3292"/>
    <s v="Amanda Bynes"/>
    <x v="2"/>
    <d v="2024-04-27T00:00:00"/>
    <x v="0"/>
    <n v="10"/>
    <x v="1"/>
    <s v="No"/>
    <s v="-"/>
    <s v="Yes"/>
    <n v="20"/>
    <n v="15"/>
    <x v="7"/>
  </r>
  <r>
    <n v="3293"/>
    <s v="Bruno Mars"/>
    <x v="1"/>
    <d v="2024-04-28T00:00:00"/>
    <x v="1"/>
    <n v="5"/>
    <x v="0"/>
    <s v="No"/>
    <s v="-"/>
    <s v="No"/>
    <n v="0"/>
    <n v="1"/>
    <x v="4"/>
  </r>
  <r>
    <n v="3294"/>
    <s v="Carla Bruni"/>
    <x v="0"/>
    <d v="2024-04-29T00:00:00"/>
    <x v="0"/>
    <n v="15"/>
    <x v="2"/>
    <s v="Yes"/>
    <n v="30"/>
    <s v="Yes"/>
    <n v="20"/>
    <n v="20"/>
    <x v="8"/>
  </r>
  <r>
    <n v="3295"/>
    <s v="Diego Maradona"/>
    <x v="2"/>
    <d v="2024-04-30T00:00:00"/>
    <x v="1"/>
    <n v="10"/>
    <x v="0"/>
    <s v="No"/>
    <s v="-"/>
    <s v="Yes"/>
    <n v="20"/>
    <n v="5"/>
    <x v="13"/>
  </r>
  <r>
    <n v="3296"/>
    <s v="Estela Marques"/>
    <x v="1"/>
    <d v="2024-05-01T00:00:00"/>
    <x v="1"/>
    <n v="5"/>
    <x v="0"/>
    <s v="No"/>
    <s v="-"/>
    <s v="No"/>
    <n v="0"/>
    <n v="0"/>
    <x v="1"/>
  </r>
  <r>
    <n v="3297"/>
    <s v="Fábio Nobre"/>
    <x v="0"/>
    <d v="2024-05-02T00:00:00"/>
    <x v="0"/>
    <n v="15"/>
    <x v="2"/>
    <s v="Yes"/>
    <n v="30"/>
    <s v="Yes"/>
    <n v="20"/>
    <n v="7"/>
    <x v="12"/>
  </r>
  <r>
    <n v="3298"/>
    <s v="Gabriel Oliveira"/>
    <x v="2"/>
    <d v="2024-05-03T00:00:00"/>
    <x v="1"/>
    <n v="10"/>
    <x v="1"/>
    <s v="No"/>
    <s v="-"/>
    <s v="Yes"/>
    <n v="20"/>
    <n v="10"/>
    <x v="2"/>
  </r>
  <r>
    <n v="3299"/>
    <s v="Helena Santos"/>
    <x v="1"/>
    <d v="2024-05-04T00:00:00"/>
    <x v="0"/>
    <n v="5"/>
    <x v="2"/>
    <s v="No"/>
    <s v="-"/>
    <s v="No"/>
    <n v="0"/>
    <n v="1"/>
    <x v="4"/>
  </r>
  <r>
    <n v="3300"/>
    <s v="Ivan Carvalho"/>
    <x v="0"/>
    <d v="2024-05-05T00:00:00"/>
    <x v="1"/>
    <n v="15"/>
    <x v="0"/>
    <s v="Yes"/>
    <n v="30"/>
    <s v="Yes"/>
    <n v="20"/>
    <n v="15"/>
    <x v="14"/>
  </r>
  <r>
    <n v="3301"/>
    <s v="Júlia Ferreira"/>
    <x v="2"/>
    <d v="2024-05-06T00:00:00"/>
    <x v="0"/>
    <n v="10"/>
    <x v="0"/>
    <s v="No"/>
    <s v="-"/>
    <s v="Yes"/>
    <n v="20"/>
    <n v="5"/>
    <x v="13"/>
  </r>
  <r>
    <n v="3302"/>
    <s v="Karla Alves"/>
    <x v="1"/>
    <d v="2024-05-07T00:00:00"/>
    <x v="1"/>
    <n v="5"/>
    <x v="1"/>
    <s v="No"/>
    <s v="-"/>
    <s v="No"/>
    <n v="0"/>
    <n v="0"/>
    <x v="1"/>
  </r>
  <r>
    <n v="3303"/>
    <s v="Lucas Mendes"/>
    <x v="0"/>
    <d v="2024-05-08T00:00:00"/>
    <x v="0"/>
    <n v="15"/>
    <x v="2"/>
    <s v="Yes"/>
    <n v="30"/>
    <s v="Yes"/>
    <n v="20"/>
    <n v="20"/>
    <x v="8"/>
  </r>
  <r>
    <n v="3304"/>
    <s v="Mônica Gomes"/>
    <x v="2"/>
    <d v="2024-05-09T00:00:00"/>
    <x v="1"/>
    <n v="10"/>
    <x v="2"/>
    <s v="No"/>
    <s v="-"/>
    <s v="Yes"/>
    <n v="20"/>
    <n v="12"/>
    <x v="10"/>
  </r>
  <r>
    <n v="3305"/>
    <s v="Norberto Queiroz"/>
    <x v="1"/>
    <d v="2024-05-10T00:00:00"/>
    <x v="0"/>
    <n v="5"/>
    <x v="0"/>
    <s v="No"/>
    <s v="-"/>
    <s v="No"/>
    <n v="0"/>
    <n v="2"/>
    <x v="11"/>
  </r>
  <r>
    <n v="3306"/>
    <s v="Otávio Barros"/>
    <x v="0"/>
    <d v="2024-05-11T00:00:00"/>
    <x v="1"/>
    <n v="15"/>
    <x v="1"/>
    <s v="Yes"/>
    <n v="30"/>
    <s v="Yes"/>
    <n v="20"/>
    <n v="5"/>
    <x v="0"/>
  </r>
  <r>
    <n v="3307"/>
    <s v="Paula Vieira"/>
    <x v="2"/>
    <d v="2024-05-12T00:00:00"/>
    <x v="0"/>
    <n v="10"/>
    <x v="0"/>
    <s v="No"/>
    <s v="-"/>
    <s v="Yes"/>
    <n v="20"/>
    <n v="10"/>
    <x v="2"/>
  </r>
  <r>
    <n v="3308"/>
    <s v="Quentin Ramos"/>
    <x v="1"/>
    <d v="2024-05-13T00:00:00"/>
    <x v="1"/>
    <n v="5"/>
    <x v="2"/>
    <s v="No"/>
    <s v="-"/>
    <s v="No"/>
    <n v="0"/>
    <n v="0"/>
    <x v="1"/>
  </r>
  <r>
    <n v="3309"/>
    <s v="Raquel Novaes"/>
    <x v="0"/>
    <d v="2024-05-14T00:00:00"/>
    <x v="0"/>
    <n v="15"/>
    <x v="0"/>
    <s v="Yes"/>
    <n v="30"/>
    <s v="Yes"/>
    <n v="20"/>
    <n v="3"/>
    <x v="3"/>
  </r>
  <r>
    <n v="3310"/>
    <s v="Samantha Lopes"/>
    <x v="2"/>
    <d v="2024-05-15T00:00:00"/>
    <x v="1"/>
    <n v="10"/>
    <x v="1"/>
    <s v="No"/>
    <s v="-"/>
    <s v="Yes"/>
    <n v="20"/>
    <n v="15"/>
    <x v="7"/>
  </r>
  <r>
    <n v="3311"/>
    <s v="Tiago Martins"/>
    <x v="1"/>
    <d v="2024-05-16T00:00:00"/>
    <x v="0"/>
    <n v="5"/>
    <x v="0"/>
    <s v="No"/>
    <s v="-"/>
    <s v="No"/>
    <n v="0"/>
    <n v="1"/>
    <x v="4"/>
  </r>
  <r>
    <n v="3312"/>
    <s v="Ulysses Guimarães"/>
    <x v="0"/>
    <d v="2024-05-17T00:00:00"/>
    <x v="1"/>
    <n v="15"/>
    <x v="2"/>
    <s v="Yes"/>
    <n v="30"/>
    <s v="Yes"/>
    <n v="20"/>
    <n v="7"/>
    <x v="12"/>
  </r>
  <r>
    <n v="3313"/>
    <s v="Vanessa Silva"/>
    <x v="2"/>
    <d v="2024-05-18T00:00:00"/>
    <x v="0"/>
    <n v="10"/>
    <x v="0"/>
    <s v="No"/>
    <s v="-"/>
    <s v="Yes"/>
    <n v="20"/>
    <n v="10"/>
    <x v="2"/>
  </r>
  <r>
    <n v="3314"/>
    <s v="William Carneiro"/>
    <x v="1"/>
    <d v="2024-05-19T00:00:00"/>
    <x v="1"/>
    <n v="5"/>
    <x v="1"/>
    <s v="No"/>
    <s v="-"/>
    <s v="No"/>
    <n v="0"/>
    <n v="0"/>
    <x v="1"/>
  </r>
  <r>
    <n v="3315"/>
    <s v="Ximena Rocha"/>
    <x v="0"/>
    <d v="2024-05-20T00:00:00"/>
    <x v="0"/>
    <n v="15"/>
    <x v="0"/>
    <s v="Yes"/>
    <n v="30"/>
    <s v="Yes"/>
    <n v="20"/>
    <n v="20"/>
    <x v="8"/>
  </r>
  <r>
    <n v="3316"/>
    <s v="Yasmin Figueiredo"/>
    <x v="2"/>
    <d v="2024-05-21T00:00:00"/>
    <x v="1"/>
    <n v="10"/>
    <x v="2"/>
    <s v="No"/>
    <s v="-"/>
    <s v="Yes"/>
    <n v="20"/>
    <n v="15"/>
    <x v="7"/>
  </r>
  <r>
    <n v="3317"/>
    <s v="Zara Cunha"/>
    <x v="1"/>
    <d v="2024-05-22T00:00:00"/>
    <x v="0"/>
    <n v="5"/>
    <x v="0"/>
    <s v="No"/>
    <s v="-"/>
    <s v="No"/>
    <n v="0"/>
    <n v="1"/>
    <x v="4"/>
  </r>
  <r>
    <n v="3318"/>
    <s v="Alan Teixeira"/>
    <x v="0"/>
    <d v="2024-05-23T00:00:00"/>
    <x v="1"/>
    <n v="15"/>
    <x v="1"/>
    <s v="Yes"/>
    <n v="30"/>
    <s v="Yes"/>
    <n v="20"/>
    <n v="3"/>
    <x v="3"/>
  </r>
  <r>
    <n v="3319"/>
    <s v="Bárbara Oliveira"/>
    <x v="2"/>
    <d v="2024-05-24T00:00:00"/>
    <x v="0"/>
    <n v="10"/>
    <x v="0"/>
    <s v="No"/>
    <s v="-"/>
    <s v="Yes"/>
    <n v="20"/>
    <n v="10"/>
    <x v="2"/>
  </r>
  <r>
    <n v="3320"/>
    <s v="Carlos Junqueira"/>
    <x v="1"/>
    <d v="2024-05-25T00:00:00"/>
    <x v="1"/>
    <n v="5"/>
    <x v="2"/>
    <s v="No"/>
    <s v="-"/>
    <s v="No"/>
    <n v="0"/>
    <n v="0"/>
    <x v="1"/>
  </r>
  <r>
    <n v="3321"/>
    <s v="Daniela Moura"/>
    <x v="0"/>
    <d v="2024-05-26T00:00:00"/>
    <x v="0"/>
    <n v="15"/>
    <x v="0"/>
    <s v="Yes"/>
    <n v="30"/>
    <s v="Yes"/>
    <n v="20"/>
    <n v="5"/>
    <x v="0"/>
  </r>
  <r>
    <n v="3322"/>
    <s v="Eduardo Lima"/>
    <x v="2"/>
    <d v="2024-05-27T00:00:00"/>
    <x v="1"/>
    <n v="10"/>
    <x v="1"/>
    <s v="No"/>
    <s v="-"/>
    <s v="Yes"/>
    <n v="20"/>
    <n v="15"/>
    <x v="7"/>
  </r>
  <r>
    <n v="3323"/>
    <s v="Fabiana Araújo"/>
    <x v="1"/>
    <d v="2024-05-28T00:00:00"/>
    <x v="0"/>
    <n v="5"/>
    <x v="0"/>
    <s v="No"/>
    <s v="-"/>
    <s v="No"/>
    <n v="0"/>
    <n v="1"/>
    <x v="4"/>
  </r>
  <r>
    <n v="3324"/>
    <s v="Geraldo Ribeiro"/>
    <x v="0"/>
    <d v="2024-05-29T00:00:00"/>
    <x v="1"/>
    <n v="15"/>
    <x v="2"/>
    <s v="Yes"/>
    <n v="30"/>
    <s v="Yes"/>
    <n v="20"/>
    <n v="20"/>
    <x v="8"/>
  </r>
  <r>
    <n v="3325"/>
    <s v="Héctor Vargas"/>
    <x v="2"/>
    <d v="2024-05-30T00:00:00"/>
    <x v="0"/>
    <n v="10"/>
    <x v="2"/>
    <s v="No"/>
    <s v="-"/>
    <s v="Yes"/>
    <n v="20"/>
    <n v="15"/>
    <x v="7"/>
  </r>
  <r>
    <n v="3326"/>
    <s v="Isabela Fonseca"/>
    <x v="1"/>
    <d v="2024-05-31T00:00:00"/>
    <x v="1"/>
    <n v="5"/>
    <x v="1"/>
    <s v="No"/>
    <s v="-"/>
    <s v="No"/>
    <n v="0"/>
    <n v="0"/>
    <x v="1"/>
  </r>
  <r>
    <n v="3327"/>
    <s v="João Pedro Almeida"/>
    <x v="0"/>
    <d v="2024-06-01T00:00:00"/>
    <x v="0"/>
    <n v="15"/>
    <x v="0"/>
    <s v="Yes"/>
    <n v="30"/>
    <s v="Yes"/>
    <n v="20"/>
    <n v="7"/>
    <x v="12"/>
  </r>
  <r>
    <n v="3328"/>
    <s v="Klara Costa"/>
    <x v="2"/>
    <d v="2024-06-02T00:00:00"/>
    <x v="1"/>
    <n v="10"/>
    <x v="1"/>
    <s v="No"/>
    <s v="-"/>
    <s v="Yes"/>
    <n v="20"/>
    <n v="10"/>
    <x v="2"/>
  </r>
  <r>
    <n v="3329"/>
    <s v="Luciana Mendes"/>
    <x v="1"/>
    <d v="2024-06-03T00:00:00"/>
    <x v="0"/>
    <n v="5"/>
    <x v="2"/>
    <s v="No"/>
    <s v="-"/>
    <s v="No"/>
    <n v="0"/>
    <n v="1"/>
    <x v="4"/>
  </r>
  <r>
    <n v="3330"/>
    <s v="Marcelo Gouveia"/>
    <x v="0"/>
    <d v="2024-06-04T00:00:00"/>
    <x v="1"/>
    <n v="15"/>
    <x v="0"/>
    <s v="Yes"/>
    <n v="30"/>
    <s v="Yes"/>
    <n v="20"/>
    <n v="15"/>
    <x v="14"/>
  </r>
  <r>
    <n v="3331"/>
    <s v="Nívea Borges"/>
    <x v="2"/>
    <d v="2024-06-05T00:00:00"/>
    <x v="0"/>
    <n v="10"/>
    <x v="0"/>
    <s v="No"/>
    <s v="-"/>
    <s v="Yes"/>
    <n v="20"/>
    <n v="5"/>
    <x v="13"/>
  </r>
  <r>
    <n v="3332"/>
    <s v="Oscar Nogueira"/>
    <x v="1"/>
    <d v="2024-06-06T00:00:00"/>
    <x v="1"/>
    <n v="5"/>
    <x v="1"/>
    <s v="No"/>
    <s v="-"/>
    <s v="No"/>
    <n v="0"/>
    <n v="0"/>
    <x v="1"/>
  </r>
  <r>
    <n v="3333"/>
    <s v="Patrícia Alves"/>
    <x v="0"/>
    <d v="2024-06-07T00:00:00"/>
    <x v="0"/>
    <n v="15"/>
    <x v="2"/>
    <s v="Yes"/>
    <n v="30"/>
    <s v="Yes"/>
    <n v="20"/>
    <n v="20"/>
    <x v="8"/>
  </r>
  <r>
    <n v="3334"/>
    <s v="Rafaela Silva"/>
    <x v="2"/>
    <d v="2024-06-08T00:00:00"/>
    <x v="1"/>
    <n v="10"/>
    <x v="2"/>
    <s v="No"/>
    <s v="-"/>
    <s v="Yes"/>
    <n v="20"/>
    <n v="12"/>
    <x v="10"/>
  </r>
  <r>
    <n v="3335"/>
    <s v="Samantha Moraes"/>
    <x v="1"/>
    <d v="2024-06-09T00:00:00"/>
    <x v="0"/>
    <n v="5"/>
    <x v="0"/>
    <s v="No"/>
    <s v="-"/>
    <s v="No"/>
    <n v="0"/>
    <n v="2"/>
    <x v="11"/>
  </r>
  <r>
    <n v="3336"/>
    <s v="Tatiana Rocha"/>
    <x v="1"/>
    <d v="2024-06-10T00:00:00"/>
    <x v="0"/>
    <n v="5"/>
    <x v="0"/>
    <s v="No"/>
    <s v="-"/>
    <s v="No"/>
    <n v="0"/>
    <n v="0"/>
    <x v="1"/>
  </r>
  <r>
    <n v="3337"/>
    <s v="Ulisses Tavares"/>
    <x v="0"/>
    <d v="2024-06-11T00:00:00"/>
    <x v="1"/>
    <n v="15"/>
    <x v="2"/>
    <s v="Yes"/>
    <n v="30"/>
    <s v="Yes"/>
    <n v="20"/>
    <n v="7"/>
    <x v="12"/>
  </r>
  <r>
    <n v="3338"/>
    <s v="Víctor Lemos"/>
    <x v="2"/>
    <d v="2024-06-12T00:00:00"/>
    <x v="0"/>
    <n v="10"/>
    <x v="1"/>
    <s v="No"/>
    <s v="-"/>
    <s v="Yes"/>
    <n v="20"/>
    <n v="10"/>
    <x v="2"/>
  </r>
  <r>
    <n v="3339"/>
    <s v="Wilma Barros"/>
    <x v="1"/>
    <d v="2024-06-13T00:00:00"/>
    <x v="1"/>
    <n v="5"/>
    <x v="2"/>
    <s v="No"/>
    <s v="-"/>
    <s v="No"/>
    <n v="0"/>
    <n v="1"/>
    <x v="4"/>
  </r>
  <r>
    <n v="3340"/>
    <s v="Xavier Nascimento"/>
    <x v="0"/>
    <d v="2024-06-14T00:00:00"/>
    <x v="0"/>
    <n v="15"/>
    <x v="0"/>
    <s v="Yes"/>
    <n v="30"/>
    <s v="Yes"/>
    <n v="20"/>
    <n v="15"/>
    <x v="14"/>
  </r>
  <r>
    <n v="3341"/>
    <s v="Yago Pereira"/>
    <x v="2"/>
    <d v="2024-06-15T00:00:00"/>
    <x v="1"/>
    <n v="10"/>
    <x v="0"/>
    <s v="No"/>
    <s v="-"/>
    <s v="Yes"/>
    <n v="20"/>
    <n v="5"/>
    <x v="13"/>
  </r>
  <r>
    <n v="3342"/>
    <s v="Zilda Ferreira"/>
    <x v="1"/>
    <d v="2024-06-16T00:00:00"/>
    <x v="0"/>
    <n v="5"/>
    <x v="1"/>
    <s v="No"/>
    <s v="-"/>
    <s v="No"/>
    <n v="0"/>
    <n v="0"/>
    <x v="1"/>
  </r>
  <r>
    <n v="3343"/>
    <s v="Amanda Lopes"/>
    <x v="0"/>
    <d v="2024-06-17T00:00:00"/>
    <x v="1"/>
    <n v="15"/>
    <x v="2"/>
    <s v="Yes"/>
    <n v="30"/>
    <s v="Yes"/>
    <n v="20"/>
    <n v="20"/>
    <x v="8"/>
  </r>
  <r>
    <n v="3344"/>
    <s v="Bruno Miranda"/>
    <x v="2"/>
    <d v="2024-06-18T00:00:00"/>
    <x v="0"/>
    <n v="10"/>
    <x v="2"/>
    <s v="No"/>
    <s v="-"/>
    <s v="Yes"/>
    <n v="20"/>
    <n v="12"/>
    <x v="10"/>
  </r>
  <r>
    <n v="3345"/>
    <s v="Célia Torres"/>
    <x v="1"/>
    <d v="2024-06-19T00:00:00"/>
    <x v="1"/>
    <n v="5"/>
    <x v="0"/>
    <s v="No"/>
    <s v="-"/>
    <s v="No"/>
    <n v="0"/>
    <n v="2"/>
    <x v="11"/>
  </r>
  <r>
    <n v="3346"/>
    <s v="Diogo Souza"/>
    <x v="0"/>
    <d v="2024-06-20T00:00:00"/>
    <x v="0"/>
    <n v="15"/>
    <x v="1"/>
    <s v="Yes"/>
    <n v="30"/>
    <s v="Yes"/>
    <n v="20"/>
    <n v="5"/>
    <x v="0"/>
  </r>
  <r>
    <n v="3347"/>
    <s v="Elisa Castro"/>
    <x v="2"/>
    <d v="2024-06-21T00:00:00"/>
    <x v="1"/>
    <n v="10"/>
    <x v="0"/>
    <s v="No"/>
    <s v="-"/>
    <s v="Yes"/>
    <n v="20"/>
    <n v="10"/>
    <x v="2"/>
  </r>
  <r>
    <n v="3348"/>
    <s v="Fátima Lima"/>
    <x v="1"/>
    <d v="2024-06-22T00:00:00"/>
    <x v="0"/>
    <n v="5"/>
    <x v="2"/>
    <s v="No"/>
    <s v="-"/>
    <s v="No"/>
    <n v="0"/>
    <n v="0"/>
    <x v="1"/>
  </r>
  <r>
    <n v="3349"/>
    <s v="Geraldo Ribeiro"/>
    <x v="0"/>
    <d v="2024-06-23T00:00:00"/>
    <x v="1"/>
    <n v="15"/>
    <x v="0"/>
    <s v="Yes"/>
    <n v="30"/>
    <s v="Yes"/>
    <n v="20"/>
    <n v="3"/>
    <x v="3"/>
  </r>
  <r>
    <n v="3350"/>
    <s v="Hélio Martins"/>
    <x v="2"/>
    <d v="2024-06-24T00:00:00"/>
    <x v="0"/>
    <n v="10"/>
    <x v="1"/>
    <s v="No"/>
    <s v="-"/>
    <s v="Yes"/>
    <n v="20"/>
    <n v="15"/>
    <x v="7"/>
  </r>
  <r>
    <n v="3351"/>
    <s v="Íris Santos"/>
    <x v="1"/>
    <d v="2024-06-25T00:00:00"/>
    <x v="1"/>
    <n v="5"/>
    <x v="0"/>
    <s v="No"/>
    <s v="-"/>
    <s v="No"/>
    <n v="0"/>
    <n v="1"/>
    <x v="4"/>
  </r>
  <r>
    <n v="3352"/>
    <s v="João Marcelo"/>
    <x v="0"/>
    <d v="2024-06-26T00:00:00"/>
    <x v="0"/>
    <n v="15"/>
    <x v="2"/>
    <s v="Yes"/>
    <n v="30"/>
    <s v="Yes"/>
    <n v="20"/>
    <n v="7"/>
    <x v="12"/>
  </r>
  <r>
    <n v="3353"/>
    <s v="Larissa Gomes"/>
    <x v="2"/>
    <d v="2024-06-27T00:00:00"/>
    <x v="1"/>
    <n v="10"/>
    <x v="0"/>
    <s v="No"/>
    <s v="-"/>
    <s v="Yes"/>
    <n v="20"/>
    <n v="10"/>
    <x v="2"/>
  </r>
  <r>
    <n v="3354"/>
    <s v="Márcio Silva"/>
    <x v="1"/>
    <d v="2024-06-28T00:00:00"/>
    <x v="0"/>
    <n v="5"/>
    <x v="1"/>
    <s v="No"/>
    <s v="-"/>
    <s v="No"/>
    <n v="0"/>
    <n v="0"/>
    <x v="1"/>
  </r>
  <r>
    <n v="3355"/>
    <s v="Nadia Costa"/>
    <x v="0"/>
    <d v="2024-06-29T00:00:00"/>
    <x v="1"/>
    <n v="15"/>
    <x v="0"/>
    <s v="Yes"/>
    <n v="30"/>
    <s v="Yes"/>
    <n v="20"/>
    <n v="20"/>
    <x v="8"/>
  </r>
  <r>
    <n v="3356"/>
    <s v="Oscar Almeida"/>
    <x v="2"/>
    <d v="2024-06-30T00:00:00"/>
    <x v="0"/>
    <n v="10"/>
    <x v="2"/>
    <s v="No"/>
    <s v="-"/>
    <s v="Yes"/>
    <n v="20"/>
    <n v="15"/>
    <x v="7"/>
  </r>
  <r>
    <n v="3357"/>
    <s v="Patricia Soares"/>
    <x v="1"/>
    <d v="2024-07-01T00:00:00"/>
    <x v="1"/>
    <n v="5"/>
    <x v="0"/>
    <s v="No"/>
    <s v="-"/>
    <s v="No"/>
    <n v="0"/>
    <n v="1"/>
    <x v="4"/>
  </r>
  <r>
    <n v="3358"/>
    <s v="Quênia Barros"/>
    <x v="0"/>
    <d v="2024-07-02T00:00:00"/>
    <x v="0"/>
    <n v="15"/>
    <x v="1"/>
    <s v="Yes"/>
    <n v="30"/>
    <s v="Yes"/>
    <n v="20"/>
    <n v="3"/>
    <x v="3"/>
  </r>
  <r>
    <n v="3359"/>
    <s v="Rafael Torres"/>
    <x v="2"/>
    <d v="2024-07-03T00:00:00"/>
    <x v="1"/>
    <n v="10"/>
    <x v="0"/>
    <s v="No"/>
    <s v="-"/>
    <s v="Yes"/>
    <n v="20"/>
    <n v="10"/>
    <x v="2"/>
  </r>
  <r>
    <n v="3360"/>
    <s v="Silvia Nascimento"/>
    <x v="1"/>
    <d v="2024-07-04T00:00:00"/>
    <x v="0"/>
    <n v="5"/>
    <x v="2"/>
    <s v="No"/>
    <s v="-"/>
    <s v="No"/>
    <n v="0"/>
    <n v="0"/>
    <x v="1"/>
  </r>
  <r>
    <n v="3361"/>
    <s v="Tiago Mendes"/>
    <x v="0"/>
    <d v="2024-07-05T00:00:00"/>
    <x v="1"/>
    <n v="15"/>
    <x v="0"/>
    <s v="Yes"/>
    <n v="30"/>
    <s v="Yes"/>
    <n v="20"/>
    <n v="15"/>
    <x v="14"/>
  </r>
  <r>
    <n v="3362"/>
    <s v="Ursula Silva"/>
    <x v="2"/>
    <d v="2024-07-06T00:00:00"/>
    <x v="0"/>
    <n v="10"/>
    <x v="1"/>
    <s v="No"/>
    <s v="-"/>
    <s v="Yes"/>
    <n v="20"/>
    <n v="15"/>
    <x v="7"/>
  </r>
  <r>
    <n v="3363"/>
    <s v="Vanessa Moraes"/>
    <x v="1"/>
    <d v="2024-07-07T00:00:00"/>
    <x v="1"/>
    <n v="5"/>
    <x v="0"/>
    <s v="No"/>
    <s v="-"/>
    <s v="No"/>
    <n v="0"/>
    <n v="1"/>
    <x v="4"/>
  </r>
  <r>
    <n v="3364"/>
    <s v="Waldir Junior"/>
    <x v="0"/>
    <d v="2024-07-08T00:00:00"/>
    <x v="0"/>
    <n v="15"/>
    <x v="2"/>
    <s v="Yes"/>
    <n v="30"/>
    <s v="Yes"/>
    <n v="20"/>
    <n v="7"/>
    <x v="12"/>
  </r>
  <r>
    <n v="3365"/>
    <s v="Xavier Lopes"/>
    <x v="2"/>
    <d v="2024-07-09T00:00:00"/>
    <x v="1"/>
    <n v="10"/>
    <x v="0"/>
    <s v="No"/>
    <s v="-"/>
    <s v="Yes"/>
    <n v="20"/>
    <n v="10"/>
    <x v="2"/>
  </r>
  <r>
    <n v="3366"/>
    <s v="Yolanda Freitas"/>
    <x v="1"/>
    <d v="2024-07-10T00:00:00"/>
    <x v="0"/>
    <n v="5"/>
    <x v="0"/>
    <s v="No"/>
    <s v="-"/>
    <s v="No"/>
    <n v="0"/>
    <n v="0"/>
    <x v="1"/>
  </r>
  <r>
    <n v="3367"/>
    <s v="Zacarias Nunes"/>
    <x v="0"/>
    <d v="2024-07-11T00:00:00"/>
    <x v="1"/>
    <n v="15"/>
    <x v="2"/>
    <s v="Yes"/>
    <n v="30"/>
    <s v="Yes"/>
    <n v="20"/>
    <n v="7"/>
    <x v="12"/>
  </r>
  <r>
    <n v="3368"/>
    <s v="Ana Clara Barreto"/>
    <x v="2"/>
    <d v="2024-07-12T00:00:00"/>
    <x v="0"/>
    <n v="10"/>
    <x v="1"/>
    <s v="No"/>
    <s v="-"/>
    <s v="Yes"/>
    <n v="20"/>
    <n v="10"/>
    <x v="2"/>
  </r>
  <r>
    <n v="3369"/>
    <s v="Bruno Henrique"/>
    <x v="1"/>
    <d v="2024-07-13T00:00:00"/>
    <x v="1"/>
    <n v="5"/>
    <x v="2"/>
    <s v="No"/>
    <s v="-"/>
    <s v="No"/>
    <n v="0"/>
    <n v="1"/>
    <x v="4"/>
  </r>
  <r>
    <n v="3370"/>
    <s v="Carlos Eduardo"/>
    <x v="0"/>
    <d v="2024-07-14T00:00:00"/>
    <x v="0"/>
    <n v="15"/>
    <x v="0"/>
    <s v="Yes"/>
    <n v="30"/>
    <s v="Yes"/>
    <n v="20"/>
    <n v="15"/>
    <x v="14"/>
  </r>
  <r>
    <n v="3371"/>
    <s v="Débora Lima"/>
    <x v="2"/>
    <d v="2024-07-15T00:00:00"/>
    <x v="1"/>
    <n v="10"/>
    <x v="0"/>
    <s v="No"/>
    <s v="-"/>
    <s v="Yes"/>
    <n v="20"/>
    <n v="5"/>
    <x v="13"/>
  </r>
  <r>
    <n v="3372"/>
    <s v="Elisa Neves"/>
    <x v="1"/>
    <d v="2024-07-16T00:00:00"/>
    <x v="0"/>
    <n v="5"/>
    <x v="1"/>
    <s v="No"/>
    <s v="-"/>
    <s v="No"/>
    <n v="0"/>
    <n v="0"/>
    <x v="1"/>
  </r>
  <r>
    <n v="3373"/>
    <s v="Fabiano Gomes"/>
    <x v="0"/>
    <d v="2024-07-17T00:00:00"/>
    <x v="1"/>
    <n v="15"/>
    <x v="2"/>
    <s v="Yes"/>
    <n v="30"/>
    <s v="Yes"/>
    <n v="20"/>
    <n v="20"/>
    <x v="8"/>
  </r>
  <r>
    <n v="3374"/>
    <s v="Gisele Oliveira"/>
    <x v="2"/>
    <d v="2024-07-18T00:00:00"/>
    <x v="0"/>
    <n v="10"/>
    <x v="2"/>
    <s v="No"/>
    <s v="-"/>
    <s v="Yes"/>
    <n v="20"/>
    <n v="12"/>
    <x v="10"/>
  </r>
  <r>
    <n v="3375"/>
    <s v="Héctor Silva"/>
    <x v="1"/>
    <d v="2024-07-19T00:00:00"/>
    <x v="1"/>
    <n v="5"/>
    <x v="0"/>
    <s v="No"/>
    <s v="-"/>
    <s v="No"/>
    <n v="0"/>
    <n v="2"/>
    <x v="11"/>
  </r>
  <r>
    <n v="3376"/>
    <s v="Igor Martins"/>
    <x v="0"/>
    <d v="2024-07-20T00:00:00"/>
    <x v="0"/>
    <n v="15"/>
    <x v="1"/>
    <s v="Yes"/>
    <n v="30"/>
    <s v="Yes"/>
    <n v="20"/>
    <n v="5"/>
    <x v="0"/>
  </r>
  <r>
    <n v="3377"/>
    <s v="Joana Figueiredo"/>
    <x v="2"/>
    <d v="2024-07-21T00:00:00"/>
    <x v="1"/>
    <n v="10"/>
    <x v="0"/>
    <s v="No"/>
    <s v="-"/>
    <s v="Yes"/>
    <n v="20"/>
    <n v="10"/>
    <x v="2"/>
  </r>
  <r>
    <n v="3378"/>
    <s v="Kleber Machado"/>
    <x v="1"/>
    <d v="2024-07-22T00:00:00"/>
    <x v="0"/>
    <n v="5"/>
    <x v="2"/>
    <s v="No"/>
    <s v="-"/>
    <s v="No"/>
    <n v="0"/>
    <n v="0"/>
    <x v="1"/>
  </r>
  <r>
    <n v="3379"/>
    <s v="Luciana Santos"/>
    <x v="0"/>
    <d v="2024-07-23T00:00:00"/>
    <x v="1"/>
    <n v="15"/>
    <x v="0"/>
    <s v="Yes"/>
    <n v="30"/>
    <s v="Yes"/>
    <n v="20"/>
    <n v="3"/>
    <x v="3"/>
  </r>
  <r>
    <n v="3380"/>
    <s v="Marcos Teixeira"/>
    <x v="2"/>
    <d v="2024-07-24T00:00:00"/>
    <x v="0"/>
    <n v="10"/>
    <x v="1"/>
    <s v="No"/>
    <s v="-"/>
    <s v="Yes"/>
    <n v="20"/>
    <n v="15"/>
    <x v="7"/>
  </r>
  <r>
    <n v="3381"/>
    <s v="Natalia Costa"/>
    <x v="1"/>
    <d v="2024-07-25T00:00:00"/>
    <x v="1"/>
    <n v="5"/>
    <x v="0"/>
    <s v="No"/>
    <s v="-"/>
    <s v="No"/>
    <n v="0"/>
    <n v="1"/>
    <x v="4"/>
  </r>
  <r>
    <n v="3382"/>
    <s v="Oscar Ribeiro"/>
    <x v="0"/>
    <d v="2024-07-26T00:00:00"/>
    <x v="0"/>
    <n v="15"/>
    <x v="2"/>
    <s v="Yes"/>
    <n v="30"/>
    <s v="Yes"/>
    <n v="20"/>
    <n v="7"/>
    <x v="12"/>
  </r>
  <r>
    <n v="3383"/>
    <s v="Patricia Almeida"/>
    <x v="2"/>
    <d v="2024-07-27T00:00:00"/>
    <x v="1"/>
    <n v="10"/>
    <x v="0"/>
    <s v="No"/>
    <s v="-"/>
    <s v="Yes"/>
    <n v="20"/>
    <n v="10"/>
    <x v="2"/>
  </r>
  <r>
    <n v="3384"/>
    <s v="Quirino Junior"/>
    <x v="1"/>
    <d v="2024-07-28T00:00:00"/>
    <x v="0"/>
    <n v="5"/>
    <x v="1"/>
    <s v="No"/>
    <s v="-"/>
    <s v="No"/>
    <n v="0"/>
    <n v="0"/>
    <x v="1"/>
  </r>
  <r>
    <n v="3385"/>
    <s v="Renata Machado"/>
    <x v="0"/>
    <d v="2024-07-29T00:00:00"/>
    <x v="1"/>
    <n v="15"/>
    <x v="0"/>
    <s v="Yes"/>
    <n v="30"/>
    <s v="Yes"/>
    <n v="20"/>
    <n v="20"/>
    <x v="8"/>
  </r>
  <r>
    <n v="3386"/>
    <s v="Sônia Alves"/>
    <x v="2"/>
    <d v="2024-07-30T00:00:00"/>
    <x v="0"/>
    <n v="10"/>
    <x v="2"/>
    <s v="No"/>
    <s v="-"/>
    <s v="Yes"/>
    <n v="20"/>
    <n v="15"/>
    <x v="7"/>
  </r>
  <r>
    <n v="3387"/>
    <s v="Tiago Nunes"/>
    <x v="1"/>
    <d v="2024-07-31T00:00:00"/>
    <x v="1"/>
    <n v="5"/>
    <x v="0"/>
    <s v="No"/>
    <s v="-"/>
    <s v="No"/>
    <n v="0"/>
    <n v="1"/>
    <x v="4"/>
  </r>
  <r>
    <n v="3388"/>
    <s v="Ulysses Pereira"/>
    <x v="0"/>
    <d v="2024-08-01T00:00:00"/>
    <x v="0"/>
    <n v="15"/>
    <x v="1"/>
    <s v="Yes"/>
    <n v="30"/>
    <s v="Yes"/>
    <n v="20"/>
    <n v="3"/>
    <x v="3"/>
  </r>
  <r>
    <n v="3389"/>
    <s v="Vanessa Lima"/>
    <x v="2"/>
    <d v="2024-08-02T00:00:00"/>
    <x v="1"/>
    <n v="10"/>
    <x v="0"/>
    <s v="No"/>
    <s v="-"/>
    <s v="Yes"/>
    <n v="20"/>
    <n v="10"/>
    <x v="2"/>
  </r>
  <r>
    <n v="3390"/>
    <s v="Wagner Santos"/>
    <x v="1"/>
    <d v="2024-08-03T00:00:00"/>
    <x v="0"/>
    <n v="5"/>
    <x v="2"/>
    <s v="No"/>
    <s v="-"/>
    <s v="No"/>
    <n v="0"/>
    <n v="0"/>
    <x v="1"/>
  </r>
  <r>
    <n v="3391"/>
    <s v="Xuxa Meneghel"/>
    <x v="0"/>
    <d v="2024-08-04T00:00:00"/>
    <x v="1"/>
    <n v="15"/>
    <x v="0"/>
    <s v="Yes"/>
    <n v="30"/>
    <s v="Yes"/>
    <n v="20"/>
    <n v="15"/>
    <x v="14"/>
  </r>
  <r>
    <n v="3392"/>
    <s v="Yasmin Silva"/>
    <x v="2"/>
    <d v="2024-08-05T00:00:00"/>
    <x v="0"/>
    <n v="10"/>
    <x v="1"/>
    <s v="No"/>
    <s v="-"/>
    <s v="Yes"/>
    <n v="20"/>
    <n v="15"/>
    <x v="7"/>
  </r>
  <r>
    <n v="3393"/>
    <s v="Zacarias de Souza"/>
    <x v="1"/>
    <d v="2024-08-06T00:00:00"/>
    <x v="1"/>
    <n v="5"/>
    <x v="0"/>
    <s v="No"/>
    <s v="-"/>
    <s v="No"/>
    <n v="0"/>
    <n v="1"/>
    <x v="4"/>
  </r>
  <r>
    <n v="3394"/>
    <s v="André Lima"/>
    <x v="0"/>
    <d v="2024-08-07T00:00:00"/>
    <x v="0"/>
    <n v="15"/>
    <x v="2"/>
    <s v="Yes"/>
    <n v="30"/>
    <s v="Yes"/>
    <n v="20"/>
    <n v="7"/>
    <x v="12"/>
  </r>
  <r>
    <n v="3395"/>
    <s v="Bianca Freitas"/>
    <x v="2"/>
    <d v="2024-08-08T00:00:00"/>
    <x v="1"/>
    <n v="10"/>
    <x v="0"/>
    <s v="No"/>
    <s v="-"/>
    <s v="Yes"/>
    <n v="20"/>
    <n v="10"/>
    <x v="2"/>
  </r>
  <r>
    <n v="3396"/>
    <s v="Caio Mendes"/>
    <x v="1"/>
    <d v="2024-08-09T00:00:00"/>
    <x v="0"/>
    <n v="5"/>
    <x v="1"/>
    <s v="No"/>
    <s v="-"/>
    <s v="No"/>
    <n v="0"/>
    <n v="0"/>
    <x v="1"/>
  </r>
  <r>
    <n v="3397"/>
    <s v="Daniela Moura"/>
    <x v="0"/>
    <d v="2024-08-10T00:00:00"/>
    <x v="1"/>
    <n v="15"/>
    <x v="0"/>
    <s v="Yes"/>
    <n v="30"/>
    <s v="Yes"/>
    <n v="20"/>
    <n v="20"/>
    <x v="8"/>
  </r>
  <r>
    <n v="3398"/>
    <s v="Eduardo Costa"/>
    <x v="2"/>
    <d v="2024-08-11T00:00:00"/>
    <x v="0"/>
    <n v="10"/>
    <x v="2"/>
    <s v="No"/>
    <s v="-"/>
    <s v="Yes"/>
    <n v="20"/>
    <n v="15"/>
    <x v="7"/>
  </r>
  <r>
    <n v="3399"/>
    <s v="Fernanda Gomes"/>
    <x v="1"/>
    <d v="2024-08-12T00:00:00"/>
    <x v="1"/>
    <n v="5"/>
    <x v="0"/>
    <s v="No"/>
    <s v="-"/>
    <s v="No"/>
    <n v="0"/>
    <n v="1"/>
    <x v="4"/>
  </r>
  <r>
    <n v="3400"/>
    <s v="Guilherme Souza"/>
    <x v="0"/>
    <d v="2024-08-13T00:00:00"/>
    <x v="0"/>
    <n v="15"/>
    <x v="1"/>
    <s v="Yes"/>
    <n v="30"/>
    <s v="Yes"/>
    <n v="20"/>
    <n v="5"/>
    <x v="0"/>
  </r>
  <r>
    <n v="3401"/>
    <s v="Helena Ribeiro"/>
    <x v="2"/>
    <d v="2024-08-14T00:00:00"/>
    <x v="1"/>
    <n v="10"/>
    <x v="0"/>
    <s v="No"/>
    <s v="-"/>
    <s v="Yes"/>
    <n v="20"/>
    <n v="10"/>
    <x v="2"/>
  </r>
  <r>
    <n v="3402"/>
    <s v="Igor Santos"/>
    <x v="1"/>
    <d v="2024-08-15T00:00:00"/>
    <x v="0"/>
    <n v="5"/>
    <x v="2"/>
    <s v="No"/>
    <s v="-"/>
    <s v="No"/>
    <n v="0"/>
    <n v="0"/>
    <x v="1"/>
  </r>
  <r>
    <n v="3403"/>
    <s v="João Carvalho"/>
    <x v="0"/>
    <d v="2024-08-16T00:00:00"/>
    <x v="1"/>
    <n v="15"/>
    <x v="0"/>
    <s v="Yes"/>
    <n v="30"/>
    <s v="Yes"/>
    <n v="20"/>
    <n v="3"/>
    <x v="3"/>
  </r>
  <r>
    <n v="3404"/>
    <s v="Klara Fagundes"/>
    <x v="2"/>
    <d v="2024-08-17T00:00:00"/>
    <x v="0"/>
    <n v="10"/>
    <x v="1"/>
    <s v="No"/>
    <s v="-"/>
    <s v="Yes"/>
    <n v="20"/>
    <n v="15"/>
    <x v="7"/>
  </r>
  <r>
    <n v="3405"/>
    <s v="Lúcia Mendonça"/>
    <x v="1"/>
    <d v="2024-08-18T00:00:00"/>
    <x v="1"/>
    <n v="5"/>
    <x v="0"/>
    <s v="No"/>
    <s v="-"/>
    <s v="No"/>
    <n v="0"/>
    <n v="1"/>
    <x v="4"/>
  </r>
  <r>
    <n v="3406"/>
    <s v="Marcelo Novaes"/>
    <x v="1"/>
    <d v="2024-08-19T00:00:00"/>
    <x v="0"/>
    <n v="5"/>
    <x v="0"/>
    <s v="No"/>
    <s v="-"/>
    <s v="No"/>
    <n v="0"/>
    <n v="0"/>
    <x v="1"/>
  </r>
  <r>
    <n v="3407"/>
    <s v="Nina Pacheco"/>
    <x v="0"/>
    <d v="2024-08-20T00:00:00"/>
    <x v="1"/>
    <n v="15"/>
    <x v="2"/>
    <s v="Yes"/>
    <n v="30"/>
    <s v="Yes"/>
    <n v="20"/>
    <n v="7"/>
    <x v="12"/>
  </r>
  <r>
    <n v="3408"/>
    <s v="Olívia Rios"/>
    <x v="2"/>
    <d v="2024-08-21T00:00:00"/>
    <x v="0"/>
    <n v="10"/>
    <x v="1"/>
    <s v="No"/>
    <s v="-"/>
    <s v="Yes"/>
    <n v="20"/>
    <n v="10"/>
    <x v="2"/>
  </r>
  <r>
    <n v="3409"/>
    <s v="Paulo Quintana"/>
    <x v="1"/>
    <d v="2024-08-22T00:00:00"/>
    <x v="1"/>
    <n v="5"/>
    <x v="2"/>
    <s v="No"/>
    <s v="-"/>
    <s v="No"/>
    <n v="0"/>
    <n v="1"/>
    <x v="4"/>
  </r>
  <r>
    <n v="3410"/>
    <s v="Raquel Domingos"/>
    <x v="0"/>
    <d v="2024-08-23T00:00:00"/>
    <x v="0"/>
    <n v="15"/>
    <x v="0"/>
    <s v="Yes"/>
    <n v="30"/>
    <s v="Yes"/>
    <n v="20"/>
    <n v="15"/>
    <x v="14"/>
  </r>
  <r>
    <n v="3411"/>
    <s v="Samuel Viana"/>
    <x v="2"/>
    <d v="2024-08-24T00:00:00"/>
    <x v="1"/>
    <n v="10"/>
    <x v="0"/>
    <s v="No"/>
    <s v="-"/>
    <s v="Yes"/>
    <n v="20"/>
    <n v="5"/>
    <x v="13"/>
  </r>
  <r>
    <n v="3412"/>
    <s v="Tatiane Rocha"/>
    <x v="1"/>
    <d v="2024-08-25T00:00:00"/>
    <x v="0"/>
    <n v="5"/>
    <x v="1"/>
    <s v="No"/>
    <s v="-"/>
    <s v="No"/>
    <n v="0"/>
    <n v="0"/>
    <x v="1"/>
  </r>
  <r>
    <n v="3413"/>
    <s v="Ulysses Farias"/>
    <x v="0"/>
    <d v="2024-08-26T00:00:00"/>
    <x v="1"/>
    <n v="15"/>
    <x v="2"/>
    <s v="Yes"/>
    <n v="30"/>
    <s v="Yes"/>
    <n v="20"/>
    <n v="20"/>
    <x v="8"/>
  </r>
  <r>
    <n v="3414"/>
    <s v="Vanessa Moreira"/>
    <x v="2"/>
    <d v="2024-08-27T00:00:00"/>
    <x v="0"/>
    <n v="10"/>
    <x v="2"/>
    <s v="No"/>
    <s v="-"/>
    <s v="Yes"/>
    <n v="20"/>
    <n v="12"/>
    <x v="10"/>
  </r>
  <r>
    <n v="3415"/>
    <s v="William Carvalho"/>
    <x v="1"/>
    <d v="2024-08-28T00:00:00"/>
    <x v="1"/>
    <n v="5"/>
    <x v="0"/>
    <s v="No"/>
    <s v="-"/>
    <s v="No"/>
    <n v="0"/>
    <n v="2"/>
    <x v="11"/>
  </r>
  <r>
    <n v="3416"/>
    <s v="Ximena Barros"/>
    <x v="0"/>
    <d v="2024-08-29T00:00:00"/>
    <x v="0"/>
    <n v="15"/>
    <x v="1"/>
    <s v="Yes"/>
    <n v="30"/>
    <s v="Yes"/>
    <n v="20"/>
    <n v="5"/>
    <x v="0"/>
  </r>
  <r>
    <n v="3417"/>
    <s v="Yara Machado"/>
    <x v="2"/>
    <d v="2024-08-30T00:00:00"/>
    <x v="1"/>
    <n v="10"/>
    <x v="0"/>
    <s v="No"/>
    <s v="-"/>
    <s v="Yes"/>
    <n v="20"/>
    <n v="10"/>
    <x v="2"/>
  </r>
  <r>
    <n v="3418"/>
    <s v="Zacarias Costa"/>
    <x v="1"/>
    <d v="2024-08-31T00:00:00"/>
    <x v="0"/>
    <n v="5"/>
    <x v="2"/>
    <s v="No"/>
    <s v="-"/>
    <s v="No"/>
    <n v="0"/>
    <n v="0"/>
    <x v="1"/>
  </r>
  <r>
    <n v="3419"/>
    <s v="André Lopes"/>
    <x v="0"/>
    <d v="2024-09-01T00:00:00"/>
    <x v="1"/>
    <n v="15"/>
    <x v="0"/>
    <s v="Yes"/>
    <n v="30"/>
    <s v="Yes"/>
    <n v="20"/>
    <n v="3"/>
    <x v="3"/>
  </r>
  <r>
    <n v="3420"/>
    <s v="Beatriz Souza"/>
    <x v="2"/>
    <d v="2024-09-02T00:00:00"/>
    <x v="0"/>
    <n v="10"/>
    <x v="1"/>
    <s v="No"/>
    <s v="-"/>
    <s v="Yes"/>
    <n v="20"/>
    <n v="15"/>
    <x v="7"/>
  </r>
  <r>
    <n v="3421"/>
    <s v="Caio Pereira"/>
    <x v="1"/>
    <d v="2024-09-03T00:00:00"/>
    <x v="1"/>
    <n v="5"/>
    <x v="0"/>
    <s v="No"/>
    <s v="-"/>
    <s v="No"/>
    <n v="0"/>
    <n v="1"/>
    <x v="4"/>
  </r>
  <r>
    <n v="3422"/>
    <s v="Daniela Araújo"/>
    <x v="0"/>
    <d v="2024-09-04T00:00:00"/>
    <x v="0"/>
    <n v="15"/>
    <x v="2"/>
    <s v="Yes"/>
    <n v="30"/>
    <s v="Yes"/>
    <n v="20"/>
    <n v="7"/>
    <x v="12"/>
  </r>
  <r>
    <n v="3423"/>
    <s v="Eduardo Santos"/>
    <x v="2"/>
    <d v="2024-09-05T00:00:00"/>
    <x v="1"/>
    <n v="10"/>
    <x v="0"/>
    <s v="No"/>
    <s v="-"/>
    <s v="Yes"/>
    <n v="20"/>
    <n v="10"/>
    <x v="2"/>
  </r>
  <r>
    <n v="3424"/>
    <s v="Fernanda Lima"/>
    <x v="1"/>
    <d v="2024-09-06T00:00:00"/>
    <x v="0"/>
    <n v="5"/>
    <x v="1"/>
    <s v="No"/>
    <s v="-"/>
    <s v="No"/>
    <n v="0"/>
    <n v="0"/>
    <x v="1"/>
  </r>
  <r>
    <n v="3425"/>
    <s v="Gabriel Teixeira"/>
    <x v="0"/>
    <d v="2024-09-07T00:00:00"/>
    <x v="1"/>
    <n v="15"/>
    <x v="0"/>
    <s v="Yes"/>
    <n v="30"/>
    <s v="Yes"/>
    <n v="20"/>
    <n v="20"/>
    <x v="8"/>
  </r>
  <r>
    <n v="3426"/>
    <s v="Helena Ribeiro"/>
    <x v="2"/>
    <d v="2024-09-08T00:00:00"/>
    <x v="0"/>
    <n v="10"/>
    <x v="2"/>
    <s v="No"/>
    <s v="-"/>
    <s v="Yes"/>
    <n v="20"/>
    <n v="15"/>
    <x v="7"/>
  </r>
  <r>
    <n v="3427"/>
    <s v="Igor Mendes"/>
    <x v="1"/>
    <d v="2024-09-09T00:00:00"/>
    <x v="1"/>
    <n v="5"/>
    <x v="0"/>
    <s v="No"/>
    <s v="-"/>
    <s v="No"/>
    <n v="0"/>
    <n v="1"/>
    <x v="4"/>
  </r>
  <r>
    <n v="3428"/>
    <s v="Joana Silveira"/>
    <x v="0"/>
    <d v="2024-09-10T00:00:00"/>
    <x v="0"/>
    <n v="15"/>
    <x v="1"/>
    <s v="Yes"/>
    <n v="30"/>
    <s v="Yes"/>
    <n v="20"/>
    <n v="3"/>
    <x v="3"/>
  </r>
  <r>
    <n v="3429"/>
    <s v="Lucas Martins"/>
    <x v="2"/>
    <d v="2024-09-11T00:00:00"/>
    <x v="1"/>
    <n v="10"/>
    <x v="0"/>
    <s v="No"/>
    <s v="-"/>
    <s v="Yes"/>
    <n v="20"/>
    <n v="10"/>
    <x v="2"/>
  </r>
  <r>
    <n v="3430"/>
    <s v="Marcela Gouveia"/>
    <x v="1"/>
    <d v="2024-09-12T00:00:00"/>
    <x v="0"/>
    <n v="5"/>
    <x v="2"/>
    <s v="No"/>
    <s v="-"/>
    <s v="No"/>
    <n v="0"/>
    <n v="0"/>
    <x v="1"/>
  </r>
  <r>
    <n v="3431"/>
    <s v="Nicolas Borges"/>
    <x v="0"/>
    <d v="2024-09-13T00:00:00"/>
    <x v="1"/>
    <n v="15"/>
    <x v="0"/>
    <s v="Yes"/>
    <n v="30"/>
    <s v="Yes"/>
    <n v="20"/>
    <n v="15"/>
    <x v="14"/>
  </r>
  <r>
    <n v="3432"/>
    <s v="Olivia Freitas"/>
    <x v="2"/>
    <d v="2024-09-14T00:00:00"/>
    <x v="0"/>
    <n v="10"/>
    <x v="1"/>
    <s v="No"/>
    <s v="-"/>
    <s v="Yes"/>
    <n v="20"/>
    <n v="15"/>
    <x v="7"/>
  </r>
  <r>
    <n v="3433"/>
    <s v="Paulo Nogueira"/>
    <x v="1"/>
    <d v="2024-09-15T00:00:00"/>
    <x v="1"/>
    <n v="5"/>
    <x v="0"/>
    <s v="No"/>
    <s v="-"/>
    <s v="No"/>
    <n v="0"/>
    <n v="1"/>
    <x v="4"/>
  </r>
  <r>
    <n v="3434"/>
    <s v="Raquel Andrade"/>
    <x v="0"/>
    <d v="2024-09-16T00:00:00"/>
    <x v="0"/>
    <n v="15"/>
    <x v="2"/>
    <s v="Yes"/>
    <n v="30"/>
    <s v="Yes"/>
    <n v="20"/>
    <n v="7"/>
    <x v="12"/>
  </r>
  <r>
    <n v="3435"/>
    <s v="Sônia Carvalho"/>
    <x v="2"/>
    <d v="2024-09-17T00:00:00"/>
    <x v="1"/>
    <n v="10"/>
    <x v="0"/>
    <s v="No"/>
    <s v="-"/>
    <s v="Yes"/>
    <n v="20"/>
    <n v="10"/>
    <x v="2"/>
  </r>
  <r>
    <n v="3436"/>
    <s v="Tiago Rodrigues"/>
    <x v="1"/>
    <d v="2024-09-18T00:00:00"/>
    <x v="0"/>
    <n v="5"/>
    <x v="0"/>
    <s v="No"/>
    <s v="-"/>
    <s v="No"/>
    <n v="0"/>
    <n v="0"/>
    <x v="1"/>
  </r>
  <r>
    <n v="3437"/>
    <s v="Ursula Monteiro"/>
    <x v="0"/>
    <d v="2024-09-19T00:00:00"/>
    <x v="1"/>
    <n v="15"/>
    <x v="2"/>
    <s v="Yes"/>
    <n v="30"/>
    <s v="Yes"/>
    <n v="20"/>
    <n v="7"/>
    <x v="12"/>
  </r>
  <r>
    <n v="3438"/>
    <s v="Vanessa Pereira"/>
    <x v="2"/>
    <d v="2024-09-20T00:00:00"/>
    <x v="0"/>
    <n v="10"/>
    <x v="1"/>
    <s v="No"/>
    <s v="-"/>
    <s v="Yes"/>
    <n v="20"/>
    <n v="10"/>
    <x v="2"/>
  </r>
  <r>
    <n v="3439"/>
    <s v="Walter Silva"/>
    <x v="1"/>
    <d v="2024-09-21T00:00:00"/>
    <x v="1"/>
    <n v="5"/>
    <x v="2"/>
    <s v="No"/>
    <s v="-"/>
    <s v="No"/>
    <n v="0"/>
    <n v="1"/>
    <x v="4"/>
  </r>
  <r>
    <n v="3440"/>
    <s v="Xavier Almeida"/>
    <x v="0"/>
    <d v="2024-09-22T00:00:00"/>
    <x v="0"/>
    <n v="15"/>
    <x v="0"/>
    <s v="Yes"/>
    <n v="30"/>
    <s v="Yes"/>
    <n v="20"/>
    <n v="15"/>
    <x v="14"/>
  </r>
  <r>
    <n v="3441"/>
    <s v="Yasmine Correia"/>
    <x v="2"/>
    <d v="2024-09-23T00:00:00"/>
    <x v="1"/>
    <n v="10"/>
    <x v="0"/>
    <s v="No"/>
    <s v="-"/>
    <s v="Yes"/>
    <n v="20"/>
    <n v="5"/>
    <x v="13"/>
  </r>
  <r>
    <n v="3442"/>
    <s v="Zacarias Almeida"/>
    <x v="1"/>
    <d v="2024-09-24T00:00:00"/>
    <x v="0"/>
    <n v="5"/>
    <x v="1"/>
    <s v="No"/>
    <s v="-"/>
    <s v="No"/>
    <n v="0"/>
    <n v="0"/>
    <x v="1"/>
  </r>
  <r>
    <n v="3443"/>
    <s v="Amanda Costa"/>
    <x v="0"/>
    <d v="2024-09-25T00:00:00"/>
    <x v="1"/>
    <n v="15"/>
    <x v="2"/>
    <s v="Yes"/>
    <n v="30"/>
    <s v="Yes"/>
    <n v="20"/>
    <n v="20"/>
    <x v="8"/>
  </r>
  <r>
    <n v="3444"/>
    <s v="Bruno Ferreira"/>
    <x v="2"/>
    <d v="2024-09-26T00:00:00"/>
    <x v="0"/>
    <n v="10"/>
    <x v="2"/>
    <s v="No"/>
    <s v="-"/>
    <s v="Yes"/>
    <n v="20"/>
    <n v="12"/>
    <x v="10"/>
  </r>
  <r>
    <n v="3445"/>
    <s v="Carla Dias"/>
    <x v="1"/>
    <d v="2024-09-27T00:00:00"/>
    <x v="1"/>
    <n v="5"/>
    <x v="0"/>
    <s v="No"/>
    <s v="-"/>
    <s v="No"/>
    <n v="0"/>
    <n v="2"/>
    <x v="11"/>
  </r>
  <r>
    <n v="3446"/>
    <s v="Diogo Martins"/>
    <x v="0"/>
    <d v="2024-09-28T00:00:00"/>
    <x v="0"/>
    <n v="15"/>
    <x v="1"/>
    <s v="Yes"/>
    <n v="30"/>
    <s v="Yes"/>
    <n v="20"/>
    <n v="5"/>
    <x v="0"/>
  </r>
  <r>
    <n v="3447"/>
    <s v="Elisa Campos"/>
    <x v="2"/>
    <d v="2024-09-29T00:00:00"/>
    <x v="1"/>
    <n v="10"/>
    <x v="0"/>
    <s v="No"/>
    <s v="-"/>
    <s v="Yes"/>
    <n v="20"/>
    <n v="10"/>
    <x v="2"/>
  </r>
  <r>
    <n v="3448"/>
    <s v="Fabiana Lima"/>
    <x v="1"/>
    <d v="2024-09-30T00:00:00"/>
    <x v="0"/>
    <n v="5"/>
    <x v="2"/>
    <s v="No"/>
    <s v="-"/>
    <s v="No"/>
    <n v="0"/>
    <n v="0"/>
    <x v="1"/>
  </r>
  <r>
    <n v="3449"/>
    <s v="Gabriel Santos"/>
    <x v="0"/>
    <d v="2024-10-01T00:00:00"/>
    <x v="1"/>
    <n v="15"/>
    <x v="0"/>
    <s v="Yes"/>
    <n v="30"/>
    <s v="Yes"/>
    <n v="20"/>
    <n v="3"/>
    <x v="3"/>
  </r>
  <r>
    <n v="3450"/>
    <s v="Helena Ferreira"/>
    <x v="2"/>
    <d v="2024-10-02T00:00:00"/>
    <x v="0"/>
    <n v="10"/>
    <x v="1"/>
    <s v="No"/>
    <s v="-"/>
    <s v="Yes"/>
    <n v="20"/>
    <n v="15"/>
    <x v="7"/>
  </r>
  <r>
    <n v="3451"/>
    <s v="Ígor Nunes"/>
    <x v="1"/>
    <d v="2024-10-03T00:00:00"/>
    <x v="1"/>
    <n v="5"/>
    <x v="0"/>
    <s v="No"/>
    <s v="-"/>
    <s v="No"/>
    <n v="0"/>
    <n v="1"/>
    <x v="4"/>
  </r>
  <r>
    <n v="3452"/>
    <s v="Joana Silveira"/>
    <x v="0"/>
    <d v="2024-10-04T00:00:00"/>
    <x v="0"/>
    <n v="15"/>
    <x v="2"/>
    <s v="Yes"/>
    <n v="30"/>
    <s v="Yes"/>
    <n v="20"/>
    <n v="7"/>
    <x v="12"/>
  </r>
  <r>
    <n v="3453"/>
    <s v="Kléber Oliveira"/>
    <x v="2"/>
    <d v="2024-10-05T00:00:00"/>
    <x v="1"/>
    <n v="10"/>
    <x v="0"/>
    <s v="No"/>
    <s v="-"/>
    <s v="Yes"/>
    <n v="20"/>
    <n v="10"/>
    <x v="2"/>
  </r>
  <r>
    <n v="3454"/>
    <s v="Luciana Morais"/>
    <x v="1"/>
    <d v="2024-10-06T00:00:00"/>
    <x v="0"/>
    <n v="5"/>
    <x v="1"/>
    <s v="No"/>
    <s v="-"/>
    <s v="No"/>
    <n v="0"/>
    <n v="0"/>
    <x v="1"/>
  </r>
  <r>
    <n v="3455"/>
    <s v="Marcos Vinícius"/>
    <x v="0"/>
    <d v="2024-10-07T00:00:00"/>
    <x v="1"/>
    <n v="15"/>
    <x v="0"/>
    <s v="Yes"/>
    <n v="30"/>
    <s v="Yes"/>
    <n v="20"/>
    <n v="20"/>
    <x v="8"/>
  </r>
  <r>
    <n v="3456"/>
    <s v="Natália Barros"/>
    <x v="2"/>
    <d v="2024-10-08T00:00:00"/>
    <x v="0"/>
    <n v="10"/>
    <x v="2"/>
    <s v="No"/>
    <s v="-"/>
    <s v="Yes"/>
    <n v="20"/>
    <n v="15"/>
    <x v="7"/>
  </r>
  <r>
    <n v="3457"/>
    <s v="Oscar Sampaio"/>
    <x v="1"/>
    <d v="2024-10-09T00:00:00"/>
    <x v="1"/>
    <n v="5"/>
    <x v="0"/>
    <s v="No"/>
    <s v="-"/>
    <s v="No"/>
    <n v="0"/>
    <n v="1"/>
    <x v="4"/>
  </r>
  <r>
    <n v="3458"/>
    <s v="Patrícia Leite"/>
    <x v="0"/>
    <d v="2024-10-10T00:00:00"/>
    <x v="0"/>
    <n v="15"/>
    <x v="1"/>
    <s v="Yes"/>
    <n v="30"/>
    <s v="Yes"/>
    <n v="20"/>
    <n v="3"/>
    <x v="3"/>
  </r>
  <r>
    <n v="3459"/>
    <s v="Quênia Rocha"/>
    <x v="2"/>
    <d v="2024-10-11T00:00:00"/>
    <x v="1"/>
    <n v="10"/>
    <x v="0"/>
    <s v="No"/>
    <s v="-"/>
    <s v="Yes"/>
    <n v="20"/>
    <n v="10"/>
    <x v="2"/>
  </r>
  <r>
    <n v="3460"/>
    <s v="Rafael Torres"/>
    <x v="1"/>
    <d v="2024-10-12T00:00:00"/>
    <x v="0"/>
    <n v="5"/>
    <x v="2"/>
    <s v="No"/>
    <s v="-"/>
    <s v="No"/>
    <n v="0"/>
    <n v="0"/>
    <x v="1"/>
  </r>
  <r>
    <n v="3461"/>
    <s v="Sandra Gouveia"/>
    <x v="0"/>
    <d v="2024-10-13T00:00:00"/>
    <x v="1"/>
    <n v="15"/>
    <x v="0"/>
    <s v="Yes"/>
    <n v="30"/>
    <s v="Yes"/>
    <n v="20"/>
    <n v="15"/>
    <x v="14"/>
  </r>
  <r>
    <n v="3462"/>
    <s v="Tiago Lacerda"/>
    <x v="2"/>
    <d v="2024-10-14T00:00:00"/>
    <x v="0"/>
    <n v="10"/>
    <x v="1"/>
    <s v="No"/>
    <s v="-"/>
    <s v="Yes"/>
    <n v="20"/>
    <n v="15"/>
    <x v="7"/>
  </r>
  <r>
    <n v="3463"/>
    <s v="Ursula Fonseca"/>
    <x v="1"/>
    <d v="2024-10-15T00:00:00"/>
    <x v="1"/>
    <n v="5"/>
    <x v="0"/>
    <s v="No"/>
    <s v="-"/>
    <s v="No"/>
    <n v="0"/>
    <n v="1"/>
    <x v="4"/>
  </r>
  <r>
    <n v="3464"/>
    <s v="Vanessa Andrade"/>
    <x v="0"/>
    <d v="2024-10-16T00:00:00"/>
    <x v="0"/>
    <n v="15"/>
    <x v="2"/>
    <s v="Yes"/>
    <n v="30"/>
    <s v="Yes"/>
    <n v="20"/>
    <n v="7"/>
    <x v="12"/>
  </r>
  <r>
    <n v="3465"/>
    <s v="William Castro"/>
    <x v="2"/>
    <d v="2024-10-17T00:00:00"/>
    <x v="1"/>
    <n v="10"/>
    <x v="0"/>
    <s v="No"/>
    <s v="-"/>
    <s v="Yes"/>
    <n v="20"/>
    <n v="10"/>
    <x v="2"/>
  </r>
  <r>
    <n v="3466"/>
    <s v="Xavier Monteiro"/>
    <x v="1"/>
    <d v="2024-10-18T00:00:00"/>
    <x v="0"/>
    <n v="5"/>
    <x v="1"/>
    <s v="No"/>
    <s v="-"/>
    <s v="No"/>
    <n v="0"/>
    <n v="0"/>
    <x v="1"/>
  </r>
  <r>
    <n v="3467"/>
    <s v="Yasmin Figueira"/>
    <x v="0"/>
    <d v="2024-10-19T00:00:00"/>
    <x v="1"/>
    <n v="15"/>
    <x v="0"/>
    <s v="Yes"/>
    <n v="30"/>
    <s v="Yes"/>
    <n v="20"/>
    <n v="15"/>
    <x v="14"/>
  </r>
  <r>
    <n v="3468"/>
    <s v="Zacarias Mendonça"/>
    <x v="2"/>
    <d v="2024-10-20T00:00:00"/>
    <x v="0"/>
    <n v="10"/>
    <x v="2"/>
    <s v="No"/>
    <s v="-"/>
    <s v="Yes"/>
    <n v="20"/>
    <n v="12"/>
    <x v="10"/>
  </r>
  <r>
    <n v="3469"/>
    <s v="Amanda Menezes"/>
    <x v="1"/>
    <d v="2024-10-21T00:00:00"/>
    <x v="1"/>
    <n v="5"/>
    <x v="0"/>
    <s v="No"/>
    <s v="-"/>
    <s v="No"/>
    <n v="0"/>
    <n v="2"/>
    <x v="11"/>
  </r>
  <r>
    <n v="3470"/>
    <s v="Bruno Santos"/>
    <x v="0"/>
    <d v="2024-10-22T00:00:00"/>
    <x v="0"/>
    <n v="15"/>
    <x v="1"/>
    <s v="Yes"/>
    <n v="30"/>
    <s v="Yes"/>
    <n v="20"/>
    <n v="5"/>
    <x v="0"/>
  </r>
  <r>
    <n v="3471"/>
    <s v="Carla Ferreira"/>
    <x v="2"/>
    <d v="2024-10-23T00:00:00"/>
    <x v="1"/>
    <n v="10"/>
    <x v="0"/>
    <s v="No"/>
    <s v="-"/>
    <s v="Yes"/>
    <n v="20"/>
    <n v="10"/>
    <x v="2"/>
  </r>
  <r>
    <n v="3472"/>
    <s v="Diogo Alves"/>
    <x v="1"/>
    <d v="2024-10-24T00:00:00"/>
    <x v="0"/>
    <n v="5"/>
    <x v="2"/>
    <s v="No"/>
    <s v="-"/>
    <s v="No"/>
    <n v="0"/>
    <n v="0"/>
    <x v="1"/>
  </r>
  <r>
    <n v="3473"/>
    <s v="Elisa Neves"/>
    <x v="0"/>
    <d v="2024-10-25T00:00:00"/>
    <x v="1"/>
    <n v="15"/>
    <x v="0"/>
    <s v="Yes"/>
    <n v="30"/>
    <s v="Yes"/>
    <n v="20"/>
    <n v="3"/>
    <x v="3"/>
  </r>
  <r>
    <n v="3474"/>
    <s v="Fabiano Pires"/>
    <x v="2"/>
    <d v="2024-10-26T00:00:00"/>
    <x v="0"/>
    <n v="10"/>
    <x v="1"/>
    <s v="No"/>
    <s v="-"/>
    <s v="Yes"/>
    <n v="20"/>
    <n v="15"/>
    <x v="7"/>
  </r>
  <r>
    <n v="3475"/>
    <s v="Giovana Ribeiro"/>
    <x v="1"/>
    <d v="2024-10-27T00:00:00"/>
    <x v="1"/>
    <n v="5"/>
    <x v="0"/>
    <s v="No"/>
    <s v="-"/>
    <s v="No"/>
    <n v="0"/>
    <n v="1"/>
    <x v="4"/>
  </r>
  <r>
    <n v="3476"/>
    <s v="Hélio Costa"/>
    <x v="0"/>
    <d v="2024-10-28T00:00:00"/>
    <x v="0"/>
    <n v="15"/>
    <x v="2"/>
    <s v="Yes"/>
    <n v="30"/>
    <s v="Yes"/>
    <n v="20"/>
    <n v="7"/>
    <x v="12"/>
  </r>
  <r>
    <n v="3477"/>
    <s v="Íris Loureiro"/>
    <x v="2"/>
    <d v="2024-10-29T00:00:00"/>
    <x v="1"/>
    <n v="10"/>
    <x v="0"/>
    <s v="No"/>
    <s v="-"/>
    <s v="Yes"/>
    <n v="20"/>
    <n v="10"/>
    <x v="2"/>
  </r>
  <r>
    <n v="3478"/>
    <s v="João Pereira"/>
    <x v="1"/>
    <d v="2024-10-30T00:00:00"/>
    <x v="0"/>
    <n v="5"/>
    <x v="1"/>
    <s v="No"/>
    <s v="-"/>
    <s v="No"/>
    <n v="0"/>
    <n v="0"/>
    <x v="1"/>
  </r>
  <r>
    <n v="3479"/>
    <s v="Klara Silva"/>
    <x v="0"/>
    <d v="2024-10-31T00:00:00"/>
    <x v="1"/>
    <n v="15"/>
    <x v="0"/>
    <s v="Yes"/>
    <n v="30"/>
    <s v="Yes"/>
    <n v="20"/>
    <n v="20"/>
    <x v="8"/>
  </r>
  <r>
    <n v="3480"/>
    <s v="Luciana Barros"/>
    <x v="2"/>
    <d v="2024-11-01T00:00:00"/>
    <x v="0"/>
    <n v="10"/>
    <x v="2"/>
    <s v="No"/>
    <s v="-"/>
    <s v="Yes"/>
    <n v="20"/>
    <n v="15"/>
    <x v="7"/>
  </r>
  <r>
    <n v="3481"/>
    <s v="Marcos Gomes"/>
    <x v="1"/>
    <d v="2024-11-02T00:00:00"/>
    <x v="1"/>
    <n v="5"/>
    <x v="0"/>
    <s v="No"/>
    <s v="-"/>
    <s v="No"/>
    <n v="0"/>
    <n v="1"/>
    <x v="4"/>
  </r>
  <r>
    <n v="3482"/>
    <s v="Natália Soares"/>
    <x v="0"/>
    <d v="2024-11-03T00:00:00"/>
    <x v="0"/>
    <n v="15"/>
    <x v="1"/>
    <s v="Yes"/>
    <n v="30"/>
    <s v="Yes"/>
    <n v="20"/>
    <n v="3"/>
    <x v="3"/>
  </r>
  <r>
    <n v="3483"/>
    <s v="Oscar Machado"/>
    <x v="2"/>
    <d v="2024-11-04T00:00:00"/>
    <x v="1"/>
    <n v="10"/>
    <x v="0"/>
    <s v="No"/>
    <s v="-"/>
    <s v="Yes"/>
    <n v="20"/>
    <n v="10"/>
    <x v="2"/>
  </r>
  <r>
    <n v="3484"/>
    <s v="Patrícia Lima"/>
    <x v="1"/>
    <d v="2024-11-05T00:00:00"/>
    <x v="0"/>
    <n v="5"/>
    <x v="2"/>
    <s v="No"/>
    <s v="-"/>
    <s v="No"/>
    <n v="0"/>
    <n v="0"/>
    <x v="1"/>
  </r>
  <r>
    <n v="3485"/>
    <s v="Quirino Neto"/>
    <x v="0"/>
    <d v="2024-11-06T00:00:00"/>
    <x v="1"/>
    <n v="15"/>
    <x v="0"/>
    <s v="Yes"/>
    <n v="30"/>
    <s v="Yes"/>
    <n v="20"/>
    <n v="15"/>
    <x v="14"/>
  </r>
  <r>
    <n v="3486"/>
    <s v="Rafaela Souza"/>
    <x v="1"/>
    <d v="2024-11-07T00:00:00"/>
    <x v="0"/>
    <n v="5"/>
    <x v="0"/>
    <s v="No"/>
    <s v="-"/>
    <s v="No"/>
    <n v="0"/>
    <n v="0"/>
    <x v="1"/>
  </r>
  <r>
    <n v="3487"/>
    <s v="Sandro Almeida"/>
    <x v="0"/>
    <d v="2024-11-08T00:00:00"/>
    <x v="1"/>
    <n v="15"/>
    <x v="2"/>
    <s v="Yes"/>
    <n v="30"/>
    <s v="Yes"/>
    <n v="20"/>
    <n v="7"/>
    <x v="12"/>
  </r>
  <r>
    <n v="3488"/>
    <s v="Tânia Ribeiro"/>
    <x v="2"/>
    <d v="2024-11-09T00:00:00"/>
    <x v="0"/>
    <n v="10"/>
    <x v="1"/>
    <s v="No"/>
    <s v="-"/>
    <s v="Yes"/>
    <n v="20"/>
    <n v="10"/>
    <x v="2"/>
  </r>
  <r>
    <n v="3489"/>
    <s v="Ugo Dias"/>
    <x v="1"/>
    <d v="2024-11-10T00:00:00"/>
    <x v="1"/>
    <n v="5"/>
    <x v="2"/>
    <s v="No"/>
    <s v="-"/>
    <s v="No"/>
    <n v="0"/>
    <n v="1"/>
    <x v="4"/>
  </r>
  <r>
    <n v="3490"/>
    <s v="Valéria Lima"/>
    <x v="0"/>
    <d v="2024-11-11T00:00:00"/>
    <x v="0"/>
    <n v="15"/>
    <x v="0"/>
    <s v="Yes"/>
    <n v="30"/>
    <s v="Yes"/>
    <n v="20"/>
    <n v="15"/>
    <x v="14"/>
  </r>
  <r>
    <n v="3491"/>
    <s v="William Fernandes"/>
    <x v="2"/>
    <d v="2024-11-12T00:00:00"/>
    <x v="1"/>
    <n v="10"/>
    <x v="0"/>
    <s v="No"/>
    <s v="-"/>
    <s v="Yes"/>
    <n v="20"/>
    <n v="5"/>
    <x v="13"/>
  </r>
  <r>
    <n v="3492"/>
    <s v="Xuxa Mendes"/>
    <x v="1"/>
    <d v="2024-11-13T00:00:00"/>
    <x v="0"/>
    <n v="5"/>
    <x v="1"/>
    <s v="No"/>
    <s v="-"/>
    <s v="No"/>
    <n v="0"/>
    <n v="0"/>
    <x v="1"/>
  </r>
  <r>
    <n v="3493"/>
    <s v="Ygor Farias"/>
    <x v="0"/>
    <d v="2024-11-14T00:00:00"/>
    <x v="1"/>
    <n v="15"/>
    <x v="2"/>
    <s v="Yes"/>
    <n v="30"/>
    <s v="Yes"/>
    <n v="20"/>
    <n v="20"/>
    <x v="8"/>
  </r>
  <r>
    <n v="3494"/>
    <s v="Zilda Barros"/>
    <x v="2"/>
    <d v="2024-11-15T00:00:00"/>
    <x v="0"/>
    <n v="10"/>
    <x v="2"/>
    <s v="No"/>
    <s v="-"/>
    <s v="Yes"/>
    <n v="20"/>
    <n v="12"/>
    <x v="10"/>
  </r>
  <r>
    <n v="3495"/>
    <s v="Amanda Santos"/>
    <x v="1"/>
    <d v="2024-11-16T00:00:00"/>
    <x v="1"/>
    <n v="5"/>
    <x v="0"/>
    <s v="No"/>
    <s v="-"/>
    <s v="No"/>
    <n v="0"/>
    <n v="2"/>
    <x v="11"/>
  </r>
  <r>
    <n v="3496"/>
    <s v="Bruno Costa"/>
    <x v="0"/>
    <d v="2024-11-17T00:00:00"/>
    <x v="0"/>
    <n v="15"/>
    <x v="1"/>
    <s v="Yes"/>
    <n v="30"/>
    <s v="Yes"/>
    <n v="20"/>
    <n v="5"/>
    <x v="0"/>
  </r>
  <r>
    <n v="3497"/>
    <s v="Carla Rodrigues"/>
    <x v="2"/>
    <d v="2024-11-18T00:00:00"/>
    <x v="1"/>
    <n v="10"/>
    <x v="0"/>
    <s v="No"/>
    <s v="-"/>
    <s v="Yes"/>
    <n v="20"/>
    <n v="10"/>
    <x v="2"/>
  </r>
  <r>
    <n v="3498"/>
    <s v="Diogo Pereira"/>
    <x v="1"/>
    <d v="2024-11-19T00:00:00"/>
    <x v="0"/>
    <n v="5"/>
    <x v="2"/>
    <s v="No"/>
    <s v="-"/>
    <s v="No"/>
    <n v="0"/>
    <n v="0"/>
    <x v="1"/>
  </r>
  <r>
    <n v="3499"/>
    <s v="Elisa Correia"/>
    <x v="0"/>
    <d v="2024-11-20T00:00:00"/>
    <x v="1"/>
    <n v="15"/>
    <x v="0"/>
    <s v="Yes"/>
    <n v="30"/>
    <s v="Yes"/>
    <n v="20"/>
    <n v="3"/>
    <x v="3"/>
  </r>
  <r>
    <n v="3500"/>
    <s v="Fábio Lourenço"/>
    <x v="2"/>
    <d v="2024-11-21T00:00:00"/>
    <x v="0"/>
    <n v="10"/>
    <x v="1"/>
    <s v="No"/>
    <s v="-"/>
    <s v="Yes"/>
    <n v="20"/>
    <n v="15"/>
    <x v="7"/>
  </r>
  <r>
    <n v="3501"/>
    <s v="Gabriela Neves"/>
    <x v="1"/>
    <d v="2024-11-22T00:00:00"/>
    <x v="1"/>
    <n v="5"/>
    <x v="0"/>
    <s v="No"/>
    <s v="-"/>
    <s v="No"/>
    <n v="0"/>
    <n v="1"/>
    <x v="4"/>
  </r>
  <r>
    <n v="3502"/>
    <s v="Henrique Gonçalves"/>
    <x v="0"/>
    <d v="2024-11-23T00:00:00"/>
    <x v="0"/>
    <n v="15"/>
    <x v="2"/>
    <s v="Yes"/>
    <n v="30"/>
    <s v="Yes"/>
    <n v="20"/>
    <n v="7"/>
    <x v="12"/>
  </r>
  <r>
    <n v="3503"/>
    <s v="Íris Santos"/>
    <x v="2"/>
    <d v="2024-11-24T00:00:00"/>
    <x v="1"/>
    <n v="10"/>
    <x v="0"/>
    <s v="No"/>
    <s v="-"/>
    <s v="Yes"/>
    <n v="20"/>
    <n v="10"/>
    <x v="2"/>
  </r>
  <r>
    <n v="3504"/>
    <s v="João Marcelo Alves"/>
    <x v="1"/>
    <d v="2024-11-25T00:00:00"/>
    <x v="0"/>
    <n v="5"/>
    <x v="1"/>
    <s v="No"/>
    <s v="-"/>
    <s v="No"/>
    <n v="0"/>
    <n v="0"/>
    <x v="1"/>
  </r>
  <r>
    <n v="3505"/>
    <s v="Klara Fonseca"/>
    <x v="0"/>
    <d v="2024-11-26T00:00:00"/>
    <x v="1"/>
    <n v="15"/>
    <x v="0"/>
    <s v="Yes"/>
    <n v="30"/>
    <s v="Yes"/>
    <n v="20"/>
    <n v="20"/>
    <x v="8"/>
  </r>
  <r>
    <n v="3506"/>
    <s v="Lucas Mendonça"/>
    <x v="2"/>
    <d v="2024-11-27T00:00:00"/>
    <x v="0"/>
    <n v="10"/>
    <x v="2"/>
    <s v="No"/>
    <s v="-"/>
    <s v="Yes"/>
    <n v="20"/>
    <n v="15"/>
    <x v="7"/>
  </r>
  <r>
    <n v="3507"/>
    <s v="Marcela Torres"/>
    <x v="1"/>
    <d v="2024-11-28T00:00:00"/>
    <x v="1"/>
    <n v="5"/>
    <x v="0"/>
    <s v="No"/>
    <s v="-"/>
    <s v="No"/>
    <n v="0"/>
    <n v="1"/>
    <x v="4"/>
  </r>
  <r>
    <n v="3508"/>
    <s v="Natália Castro"/>
    <x v="0"/>
    <d v="2024-11-29T00:00:00"/>
    <x v="0"/>
    <n v="15"/>
    <x v="1"/>
    <s v="Yes"/>
    <n v="30"/>
    <s v="Yes"/>
    <n v="20"/>
    <n v="3"/>
    <x v="3"/>
  </r>
  <r>
    <n v="3509"/>
    <s v="Oscar Martins"/>
    <x v="2"/>
    <d v="2024-11-30T00:00:00"/>
    <x v="1"/>
    <n v="10"/>
    <x v="0"/>
    <s v="No"/>
    <s v="-"/>
    <s v="Yes"/>
    <n v="20"/>
    <n v="10"/>
    <x v="2"/>
  </r>
  <r>
    <n v="3510"/>
    <s v="Patrícia Oliveira"/>
    <x v="1"/>
    <d v="2024-12-01T00:00:00"/>
    <x v="0"/>
    <n v="5"/>
    <x v="2"/>
    <s v="No"/>
    <s v="-"/>
    <s v="No"/>
    <n v="0"/>
    <n v="0"/>
    <x v="1"/>
  </r>
  <r>
    <n v="3511"/>
    <s v="Quentin Nogueira"/>
    <x v="0"/>
    <d v="2024-12-02T00:00:00"/>
    <x v="1"/>
    <n v="15"/>
    <x v="0"/>
    <s v="Yes"/>
    <n v="30"/>
    <s v="Yes"/>
    <n v="20"/>
    <n v="15"/>
    <x v="14"/>
  </r>
  <r>
    <n v="3512"/>
    <s v="Raquel Silva"/>
    <x v="2"/>
    <d v="2024-12-03T00:00:00"/>
    <x v="0"/>
    <n v="10"/>
    <x v="1"/>
    <s v="No"/>
    <s v="-"/>
    <s v="Yes"/>
    <n v="20"/>
    <n v="15"/>
    <x v="7"/>
  </r>
  <r>
    <n v="3513"/>
    <s v="Sandro Gomes"/>
    <x v="1"/>
    <d v="2024-12-04T00:00:00"/>
    <x v="1"/>
    <n v="5"/>
    <x v="0"/>
    <s v="No"/>
    <s v="-"/>
    <s v="No"/>
    <n v="0"/>
    <n v="1"/>
    <x v="4"/>
  </r>
  <r>
    <n v="3514"/>
    <s v="Tânia Machado"/>
    <x v="0"/>
    <d v="2024-12-05T00:00:00"/>
    <x v="0"/>
    <n v="15"/>
    <x v="2"/>
    <s v="Yes"/>
    <n v="30"/>
    <s v="Yes"/>
    <n v="20"/>
    <n v="7"/>
    <x v="12"/>
  </r>
  <r>
    <n v="3515"/>
    <s v="Ursula Silva"/>
    <x v="2"/>
    <d v="2024-12-06T00:00:00"/>
    <x v="1"/>
    <n v="10"/>
    <x v="0"/>
    <s v="No"/>
    <s v="-"/>
    <s v="Yes"/>
    <n v="20"/>
    <n v="10"/>
    <x v="2"/>
  </r>
  <r>
    <n v="3516"/>
    <s v="Vanessa Moraes"/>
    <x v="1"/>
    <d v="2024-12-07T00:00:00"/>
    <x v="0"/>
    <n v="5"/>
    <x v="1"/>
    <s v="No"/>
    <s v="-"/>
    <s v="No"/>
    <n v="0"/>
    <n v="0"/>
    <x v="1"/>
  </r>
  <r>
    <n v="3517"/>
    <s v="William Carvalho"/>
    <x v="0"/>
    <d v="2024-12-08T00:00:00"/>
    <x v="1"/>
    <n v="15"/>
    <x v="0"/>
    <s v="Yes"/>
    <n v="30"/>
    <s v="Yes"/>
    <n v="20"/>
    <n v="20"/>
    <x v="8"/>
  </r>
  <r>
    <n v="3518"/>
    <s v="Xavier Reis"/>
    <x v="2"/>
    <d v="2024-12-09T00:00:00"/>
    <x v="0"/>
    <n v="10"/>
    <x v="2"/>
    <s v="No"/>
    <s v="-"/>
    <s v="Yes"/>
    <n v="20"/>
    <n v="12"/>
    <x v="10"/>
  </r>
  <r>
    <n v="3519"/>
    <s v="Yasmin Rocha"/>
    <x v="1"/>
    <d v="2024-12-10T00:00:00"/>
    <x v="1"/>
    <n v="5"/>
    <x v="0"/>
    <s v="No"/>
    <s v="-"/>
    <s v="No"/>
    <n v="0"/>
    <n v="2"/>
    <x v="11"/>
  </r>
  <r>
    <n v="3520"/>
    <s v="Zacarias Duarte"/>
    <x v="0"/>
    <d v="2024-12-11T00:00:00"/>
    <x v="0"/>
    <n v="15"/>
    <x v="1"/>
    <s v="Yes"/>
    <n v="30"/>
    <s v="Yes"/>
    <n v="20"/>
    <n v="5"/>
    <x v="0"/>
  </r>
  <r>
    <n v="3521"/>
    <s v="Amanda Freitas"/>
    <x v="2"/>
    <d v="2024-12-12T00:00:00"/>
    <x v="1"/>
    <n v="10"/>
    <x v="0"/>
    <s v="No"/>
    <s v="-"/>
    <s v="Yes"/>
    <n v="20"/>
    <n v="10"/>
    <x v="2"/>
  </r>
  <r>
    <n v="3522"/>
    <s v="Bruno Almeida"/>
    <x v="1"/>
    <d v="2024-12-13T00:00:00"/>
    <x v="0"/>
    <n v="5"/>
    <x v="2"/>
    <s v="No"/>
    <s v="-"/>
    <s v="No"/>
    <n v="0"/>
    <n v="0"/>
    <x v="1"/>
  </r>
  <r>
    <n v="3523"/>
    <s v="Carla Siqueira"/>
    <x v="0"/>
    <d v="2024-12-14T00:00:00"/>
    <x v="1"/>
    <n v="15"/>
    <x v="0"/>
    <s v="Yes"/>
    <n v="30"/>
    <s v="Yes"/>
    <n v="20"/>
    <n v="3"/>
    <x v="3"/>
  </r>
  <r>
    <n v="3524"/>
    <s v="Diogo Ramos"/>
    <x v="2"/>
    <d v="2024-12-15T00:00:00"/>
    <x v="0"/>
    <n v="10"/>
    <x v="1"/>
    <s v="No"/>
    <s v="-"/>
    <s v="Yes"/>
    <n v="20"/>
    <n v="15"/>
    <x v="7"/>
  </r>
  <r>
    <n v="3525"/>
    <s v="Elisa Magalhães"/>
    <x v="1"/>
    <d v="2024-12-16T00:00:00"/>
    <x v="1"/>
    <n v="5"/>
    <x v="0"/>
    <s v="No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A27F3-48BD-4277-ACAC-7CE7C9987D33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0:C3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CD1E1-1D0B-4A1E-B839-C5270BBD687B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43:C49" firstHeaderRow="1" firstDataRow="1" firstDataCol="1" rowPageCount="1" colPageCount="1"/>
  <pivotFields count="13">
    <pivotField showAll="0"/>
    <pivotField showAll="0"/>
    <pivotField axis="axisPage" multipleItemSelectionAllowed="1" showAll="0">
      <items count="4">
        <item h="1" x="1"/>
        <item x="2"/>
        <item h="1"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axis="axisRow"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12"/>
  </rowFields>
  <rowItems count="6"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oma de Total Value" fld="12" baseField="12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40710-812C-4718-86D3-0E4B75F95C92}" name="tbl_easeasonpass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931C4-D94A-4233-9A4E-41C3C5169D63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9:C12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E30291B-2F88-468D-AE21-8BC333809BA5}" sourceName="Subscription Type">
  <pivotTables>
    <pivotTable tabId="3" name="TBL_anual_TOTAL"/>
    <pivotTable tabId="3" name="tbl_easeasonpassTotal"/>
    <pivotTable tabId="3" name="Tabela dinâmica1"/>
  </pivotTables>
  <data>
    <tabular pivotCacheId="1762148350">
      <items count="3">
        <i x="1"/>
        <i x="0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D6BFA409-F7DD-4DC4-9949-9767855B3727}" sourceName="Plan">
  <pivotTables>
    <pivotTable tabId="3" name="Tabela dinâmica2"/>
  </pivotTables>
  <data>
    <tabular pivotCacheId="1762148350">
      <items count="3">
        <i x="1"/>
        <i x="2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2319F58-CAE0-4F44-89FF-C62A7BFF034C}" cache="SegmentaçãodeDados_Subscription_Type" caption="Subscription Type" style="SlicerStyleLight6 2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8F74B6AE-B1FD-4421-837E-2276951B7826}" cache="SegmentaçãodeDados_Plan" caption="Plan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BBC29-90F8-4117-9593-55B672F09412}" name="Tabela2" displayName="Tabela2" ref="A3:M63" totalsRowShown="0">
  <autoFilter ref="A3:M63" xr:uid="{2A5BBC29-90F8-4117-9593-55B672F09412}"/>
  <tableColumns count="13">
    <tableColumn id="1" xr3:uid="{97AD9E66-E9CA-4493-BF4F-0EB9B1076047}" name="Subscriber ID"/>
    <tableColumn id="2" xr3:uid="{D308384A-5287-4D87-A806-75C5111BE1C8}" name="Name"/>
    <tableColumn id="3" xr3:uid="{D45AF99D-76F3-442C-A14E-B890BBE71BE0}" name="Plan"/>
    <tableColumn id="4" xr3:uid="{A2730B28-5D6A-4F28-A170-C149090CA59D}" name="Start Date" dataDxfId="1"/>
    <tableColumn id="5" xr3:uid="{70CE7722-0086-4F74-8057-154835729803}" name="Auto Renewal"/>
    <tableColumn id="6" xr3:uid="{5DB1EC4C-A211-42A6-82A7-CA825F74FCC0}" name="Subscription Price"/>
    <tableColumn id="7" xr3:uid="{C378701C-2431-4A39-9DE9-88856E5024E4}" name="Subscription Type"/>
    <tableColumn id="8" xr3:uid="{4DDEB337-CB47-43FA-BD44-B8789C8A5108}" name="EA Play Season Pass"/>
    <tableColumn id="9" xr3:uid="{D9DE6D74-BCDB-4E68-B86A-F2878844760B}" name="EA Play Season Pass_x000a_Price"/>
    <tableColumn id="10" xr3:uid="{E8B0C6F4-3F4B-4D5E-9F45-9EC84DCA647D}" name="Minecraft Season Pass"/>
    <tableColumn id="11" xr3:uid="{A9CCF50E-7CD7-434D-9D32-E7D398F67470}" name="Minecraft Season Pass Price"/>
    <tableColumn id="12" xr3:uid="{B46D52F3-5CB6-41F2-806E-853DF48D23B1}" name="Coupon Value"/>
    <tableColumn id="13" xr3:uid="{0893DA3F-C2B7-4527-80D4-BD6D48726549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5FB98F-EA60-4437-A3F4-9505596CCE93}" name="Tabela3" displayName="Tabela3" ref="A3:M74" totalsRowShown="0">
  <autoFilter ref="A3:M74" xr:uid="{2D5FB98F-EA60-4437-A3F4-9505596CCE93}"/>
  <tableColumns count="13">
    <tableColumn id="1" xr3:uid="{EA245C88-368E-494C-928D-B21D82FE5A72}" name="Subscriber ID"/>
    <tableColumn id="2" xr3:uid="{3E7ED0D8-6DF8-499A-883C-59424A203352}" name="Name"/>
    <tableColumn id="3" xr3:uid="{FED2C9B8-2FD9-47A8-A0D7-92A47F795B01}" name="Plan"/>
    <tableColumn id="4" xr3:uid="{592D74CE-DBEA-4C2A-8BA9-985C0BD1F247}" name="Start Date" dataDxfId="0"/>
    <tableColumn id="5" xr3:uid="{4ECACD02-DEF9-4C83-8D04-91DDDE825B0D}" name="Auto Renewal"/>
    <tableColumn id="6" xr3:uid="{3701DC46-06E3-4B37-AAEC-010252A6F4F9}" name="Subscription Price"/>
    <tableColumn id="7" xr3:uid="{4A212E02-2DB0-45CC-9FC2-7142A4179345}" name="Subscription Type"/>
    <tableColumn id="8" xr3:uid="{6B7B297D-C113-4E89-8552-06A05D0DCDAE}" name="EA Play Season Pass"/>
    <tableColumn id="9" xr3:uid="{898DB573-FE28-44C2-9D61-6E243DFD5848}" name="EA Play Season Pass_x000a_Price"/>
    <tableColumn id="10" xr3:uid="{3E1E2571-0115-4F81-A47D-646BCFD25814}" name="Minecraft Season Pass"/>
    <tableColumn id="11" xr3:uid="{C5AA89A4-E4AC-4E57-9DCC-9870C59BA820}" name="Minecraft Season Pass Price"/>
    <tableColumn id="12" xr3:uid="{15EFA435-8352-435E-8980-98E9B65F5AAB}" name="Coupon Value"/>
    <tableColumn id="13" xr3:uid="{01D56348-8F7B-4486-819B-0C8553672861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X2" sqref="X2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X2" sqref="X2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7.81640625" customWidth="1"/>
    <col min="13" max="13" width="15.1796875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CB68-1822-4B43-A244-2EAEB38E3FCA}">
  <sheetPr>
    <tabColor theme="3" tint="0.749992370372631"/>
  </sheetPr>
  <dimension ref="A1:M63"/>
  <sheetViews>
    <sheetView workbookViewId="0">
      <selection activeCell="X2" sqref="X2"/>
    </sheetView>
  </sheetViews>
  <sheetFormatPr defaultRowHeight="14.5" x14ac:dyDescent="0.35"/>
  <cols>
    <col min="1" max="1" width="15" bestFit="1" customWidth="1"/>
    <col min="2" max="2" width="17.1796875" bestFit="1" customWidth="1"/>
    <col min="3" max="3" width="8.81640625" bestFit="1" customWidth="1"/>
    <col min="4" max="4" width="11.81640625" bestFit="1" customWidth="1"/>
    <col min="5" max="5" width="15.08984375" bestFit="1" customWidth="1"/>
    <col min="6" max="6" width="19.1796875" bestFit="1" customWidth="1"/>
    <col min="7" max="7" width="18.90625" bestFit="1" customWidth="1"/>
    <col min="8" max="8" width="20.7265625" bestFit="1" customWidth="1"/>
    <col min="9" max="9" width="26" bestFit="1" customWidth="1"/>
    <col min="10" max="10" width="22.90625" bestFit="1" customWidth="1"/>
    <col min="11" max="11" width="27.81640625" bestFit="1" customWidth="1"/>
    <col min="12" max="12" width="15.36328125" bestFit="1" customWidth="1"/>
    <col min="13" max="13" width="12.6328125" bestFit="1" customWidth="1"/>
  </cols>
  <sheetData>
    <row r="1" spans="1:13" x14ac:dyDescent="0.35">
      <c r="A1" s="16" t="s">
        <v>316</v>
      </c>
    </row>
    <row r="3" spans="1:13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5">
      <c r="A4">
        <v>3524</v>
      </c>
      <c r="B4" t="s">
        <v>307</v>
      </c>
      <c r="C4" t="s">
        <v>26</v>
      </c>
      <c r="D4" s="15">
        <v>45641</v>
      </c>
      <c r="E4" t="s">
        <v>19</v>
      </c>
      <c r="F4">
        <v>10</v>
      </c>
      <c r="G4" t="s">
        <v>24</v>
      </c>
      <c r="H4" t="s">
        <v>23</v>
      </c>
      <c r="I4" t="s">
        <v>311</v>
      </c>
      <c r="J4" t="s">
        <v>19</v>
      </c>
      <c r="K4">
        <v>20</v>
      </c>
      <c r="L4">
        <v>15</v>
      </c>
      <c r="M4">
        <v>15</v>
      </c>
    </row>
    <row r="5" spans="1:13" x14ac:dyDescent="0.35">
      <c r="A5">
        <v>3520</v>
      </c>
      <c r="B5" t="s">
        <v>303</v>
      </c>
      <c r="C5" t="s">
        <v>18</v>
      </c>
      <c r="D5" s="15">
        <v>45637</v>
      </c>
      <c r="E5" t="s">
        <v>19</v>
      </c>
      <c r="F5">
        <v>15</v>
      </c>
      <c r="G5" t="s">
        <v>24</v>
      </c>
      <c r="H5" t="s">
        <v>19</v>
      </c>
      <c r="I5">
        <v>30</v>
      </c>
      <c r="J5" t="s">
        <v>19</v>
      </c>
      <c r="K5">
        <v>20</v>
      </c>
      <c r="L5">
        <v>5</v>
      </c>
      <c r="M5">
        <v>60</v>
      </c>
    </row>
    <row r="6" spans="1:13" x14ac:dyDescent="0.35">
      <c r="A6">
        <v>3516</v>
      </c>
      <c r="B6" t="s">
        <v>160</v>
      </c>
      <c r="C6" t="s">
        <v>22</v>
      </c>
      <c r="D6" s="15">
        <v>45633</v>
      </c>
      <c r="E6" t="s">
        <v>19</v>
      </c>
      <c r="F6">
        <v>5</v>
      </c>
      <c r="G6" t="s">
        <v>24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 x14ac:dyDescent="0.35">
      <c r="A7">
        <v>3512</v>
      </c>
      <c r="B7" t="s">
        <v>298</v>
      </c>
      <c r="C7" t="s">
        <v>26</v>
      </c>
      <c r="D7" s="15">
        <v>45629</v>
      </c>
      <c r="E7" t="s">
        <v>19</v>
      </c>
      <c r="F7">
        <v>10</v>
      </c>
      <c r="G7" t="s">
        <v>24</v>
      </c>
      <c r="H7" t="s">
        <v>23</v>
      </c>
      <c r="I7" t="s">
        <v>311</v>
      </c>
      <c r="J7" t="s">
        <v>19</v>
      </c>
      <c r="K7">
        <v>20</v>
      </c>
      <c r="L7">
        <v>15</v>
      </c>
      <c r="M7">
        <v>15</v>
      </c>
    </row>
    <row r="8" spans="1:13" x14ac:dyDescent="0.35">
      <c r="A8">
        <v>3508</v>
      </c>
      <c r="B8" t="s">
        <v>294</v>
      </c>
      <c r="C8" t="s">
        <v>18</v>
      </c>
      <c r="D8" s="15">
        <v>45625</v>
      </c>
      <c r="E8" t="s">
        <v>19</v>
      </c>
      <c r="F8">
        <v>15</v>
      </c>
      <c r="G8" t="s">
        <v>24</v>
      </c>
      <c r="H8" t="s">
        <v>19</v>
      </c>
      <c r="I8">
        <v>30</v>
      </c>
      <c r="J8" t="s">
        <v>19</v>
      </c>
      <c r="K8">
        <v>20</v>
      </c>
      <c r="L8">
        <v>3</v>
      </c>
      <c r="M8">
        <v>62</v>
      </c>
    </row>
    <row r="9" spans="1:13" x14ac:dyDescent="0.35">
      <c r="A9">
        <v>3504</v>
      </c>
      <c r="B9" t="s">
        <v>290</v>
      </c>
      <c r="C9" t="s">
        <v>22</v>
      </c>
      <c r="D9" s="15">
        <v>45621</v>
      </c>
      <c r="E9" t="s">
        <v>19</v>
      </c>
      <c r="F9">
        <v>5</v>
      </c>
      <c r="G9" t="s">
        <v>24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 x14ac:dyDescent="0.35">
      <c r="A10">
        <v>3500</v>
      </c>
      <c r="B10" t="s">
        <v>287</v>
      </c>
      <c r="C10" t="s">
        <v>26</v>
      </c>
      <c r="D10" s="15">
        <v>45617</v>
      </c>
      <c r="E10" t="s">
        <v>19</v>
      </c>
      <c r="F10">
        <v>10</v>
      </c>
      <c r="G10" t="s">
        <v>24</v>
      </c>
      <c r="H10" t="s">
        <v>23</v>
      </c>
      <c r="I10" t="s">
        <v>311</v>
      </c>
      <c r="J10" t="s">
        <v>19</v>
      </c>
      <c r="K10">
        <v>20</v>
      </c>
      <c r="L10">
        <v>15</v>
      </c>
      <c r="M10">
        <v>15</v>
      </c>
    </row>
    <row r="11" spans="1:13" x14ac:dyDescent="0.35">
      <c r="A11">
        <v>3238</v>
      </c>
      <c r="B11" t="s">
        <v>36</v>
      </c>
      <c r="C11" t="s">
        <v>22</v>
      </c>
      <c r="D11" s="15">
        <v>45355</v>
      </c>
      <c r="E11" t="s">
        <v>19</v>
      </c>
      <c r="F11">
        <v>5</v>
      </c>
      <c r="G11" t="s">
        <v>24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 x14ac:dyDescent="0.35">
      <c r="A12">
        <v>3496</v>
      </c>
      <c r="B12" t="s">
        <v>283</v>
      </c>
      <c r="C12" t="s">
        <v>18</v>
      </c>
      <c r="D12" s="15">
        <v>45613</v>
      </c>
      <c r="E12" t="s">
        <v>19</v>
      </c>
      <c r="F12">
        <v>15</v>
      </c>
      <c r="G12" t="s">
        <v>24</v>
      </c>
      <c r="H12" t="s">
        <v>19</v>
      </c>
      <c r="I12">
        <v>30</v>
      </c>
      <c r="J12" t="s">
        <v>19</v>
      </c>
      <c r="K12">
        <v>20</v>
      </c>
      <c r="L12">
        <v>5</v>
      </c>
      <c r="M12">
        <v>60</v>
      </c>
    </row>
    <row r="13" spans="1:13" x14ac:dyDescent="0.35">
      <c r="A13">
        <v>3492</v>
      </c>
      <c r="B13" t="s">
        <v>279</v>
      </c>
      <c r="C13" t="s">
        <v>22</v>
      </c>
      <c r="D13" s="15">
        <v>45609</v>
      </c>
      <c r="E13" t="s">
        <v>19</v>
      </c>
      <c r="F13">
        <v>5</v>
      </c>
      <c r="G13" t="s">
        <v>24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 x14ac:dyDescent="0.35">
      <c r="A14">
        <v>3488</v>
      </c>
      <c r="B14" t="s">
        <v>275</v>
      </c>
      <c r="C14" t="s">
        <v>26</v>
      </c>
      <c r="D14" s="15">
        <v>45605</v>
      </c>
      <c r="E14" t="s">
        <v>19</v>
      </c>
      <c r="F14">
        <v>10</v>
      </c>
      <c r="G14" t="s">
        <v>24</v>
      </c>
      <c r="H14" t="s">
        <v>23</v>
      </c>
      <c r="I14" t="s">
        <v>311</v>
      </c>
      <c r="J14" t="s">
        <v>19</v>
      </c>
      <c r="K14">
        <v>20</v>
      </c>
      <c r="L14">
        <v>10</v>
      </c>
      <c r="M14">
        <v>20</v>
      </c>
    </row>
    <row r="15" spans="1:13" x14ac:dyDescent="0.35">
      <c r="A15">
        <v>3242</v>
      </c>
      <c r="B15" t="s">
        <v>40</v>
      </c>
      <c r="C15" t="s">
        <v>18</v>
      </c>
      <c r="D15" s="15">
        <v>45359</v>
      </c>
      <c r="E15" t="s">
        <v>19</v>
      </c>
      <c r="F15">
        <v>15</v>
      </c>
      <c r="G15" t="s">
        <v>24</v>
      </c>
      <c r="H15" t="s">
        <v>19</v>
      </c>
      <c r="I15">
        <v>30</v>
      </c>
      <c r="J15" t="s">
        <v>19</v>
      </c>
      <c r="K15">
        <v>20</v>
      </c>
      <c r="L15">
        <v>20</v>
      </c>
      <c r="M15">
        <v>45</v>
      </c>
    </row>
    <row r="16" spans="1:13" x14ac:dyDescent="0.35">
      <c r="A16">
        <v>3482</v>
      </c>
      <c r="B16" t="s">
        <v>269</v>
      </c>
      <c r="C16" t="s">
        <v>18</v>
      </c>
      <c r="D16" s="15">
        <v>45599</v>
      </c>
      <c r="E16" t="s">
        <v>19</v>
      </c>
      <c r="F16">
        <v>15</v>
      </c>
      <c r="G16" t="s">
        <v>24</v>
      </c>
      <c r="H16" t="s">
        <v>19</v>
      </c>
      <c r="I16">
        <v>30</v>
      </c>
      <c r="J16" t="s">
        <v>19</v>
      </c>
      <c r="K16">
        <v>20</v>
      </c>
      <c r="L16">
        <v>3</v>
      </c>
      <c r="M16">
        <v>62</v>
      </c>
    </row>
    <row r="17" spans="1:13" x14ac:dyDescent="0.35">
      <c r="A17">
        <v>3478</v>
      </c>
      <c r="B17" t="s">
        <v>265</v>
      </c>
      <c r="C17" t="s">
        <v>22</v>
      </c>
      <c r="D17" s="15">
        <v>45595</v>
      </c>
      <c r="E17" t="s">
        <v>19</v>
      </c>
      <c r="F17">
        <v>5</v>
      </c>
      <c r="G17" t="s">
        <v>24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 x14ac:dyDescent="0.35">
      <c r="A18">
        <v>3474</v>
      </c>
      <c r="B18" t="s">
        <v>261</v>
      </c>
      <c r="C18" t="s">
        <v>26</v>
      </c>
      <c r="D18" s="15">
        <v>45591</v>
      </c>
      <c r="E18" t="s">
        <v>19</v>
      </c>
      <c r="F18">
        <v>10</v>
      </c>
      <c r="G18" t="s">
        <v>24</v>
      </c>
      <c r="H18" t="s">
        <v>23</v>
      </c>
      <c r="I18" t="s">
        <v>311</v>
      </c>
      <c r="J18" t="s">
        <v>19</v>
      </c>
      <c r="K18">
        <v>20</v>
      </c>
      <c r="L18">
        <v>15</v>
      </c>
      <c r="M18">
        <v>15</v>
      </c>
    </row>
    <row r="19" spans="1:13" x14ac:dyDescent="0.35">
      <c r="A19">
        <v>3246</v>
      </c>
      <c r="B19" t="s">
        <v>44</v>
      </c>
      <c r="C19" t="s">
        <v>26</v>
      </c>
      <c r="D19" s="15">
        <v>45363</v>
      </c>
      <c r="E19" t="s">
        <v>19</v>
      </c>
      <c r="F19">
        <v>10</v>
      </c>
      <c r="G19" t="s">
        <v>24</v>
      </c>
      <c r="H19" t="s">
        <v>23</v>
      </c>
      <c r="I19" t="s">
        <v>311</v>
      </c>
      <c r="J19" t="s">
        <v>19</v>
      </c>
      <c r="K19">
        <v>20</v>
      </c>
      <c r="L19">
        <v>12</v>
      </c>
      <c r="M19">
        <v>18</v>
      </c>
    </row>
    <row r="20" spans="1:13" x14ac:dyDescent="0.35">
      <c r="A20">
        <v>3470</v>
      </c>
      <c r="B20" t="s">
        <v>258</v>
      </c>
      <c r="C20" t="s">
        <v>18</v>
      </c>
      <c r="D20" s="15">
        <v>45587</v>
      </c>
      <c r="E20" t="s">
        <v>19</v>
      </c>
      <c r="F20">
        <v>15</v>
      </c>
      <c r="G20" t="s">
        <v>24</v>
      </c>
      <c r="H20" t="s">
        <v>19</v>
      </c>
      <c r="I20">
        <v>30</v>
      </c>
      <c r="J20" t="s">
        <v>19</v>
      </c>
      <c r="K20">
        <v>20</v>
      </c>
      <c r="L20">
        <v>5</v>
      </c>
      <c r="M20">
        <v>60</v>
      </c>
    </row>
    <row r="21" spans="1:13" x14ac:dyDescent="0.35">
      <c r="A21">
        <v>3466</v>
      </c>
      <c r="B21" t="s">
        <v>254</v>
      </c>
      <c r="C21" t="s">
        <v>22</v>
      </c>
      <c r="D21" s="15">
        <v>45583</v>
      </c>
      <c r="E21" t="s">
        <v>19</v>
      </c>
      <c r="F21">
        <v>5</v>
      </c>
      <c r="G21" t="s">
        <v>24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35">
      <c r="A22">
        <v>3462</v>
      </c>
      <c r="B22" t="s">
        <v>250</v>
      </c>
      <c r="C22" t="s">
        <v>26</v>
      </c>
      <c r="D22" s="15">
        <v>45579</v>
      </c>
      <c r="E22" t="s">
        <v>19</v>
      </c>
      <c r="F22">
        <v>10</v>
      </c>
      <c r="G22" t="s">
        <v>24</v>
      </c>
      <c r="H22" t="s">
        <v>23</v>
      </c>
      <c r="I22" t="s">
        <v>311</v>
      </c>
      <c r="J22" t="s">
        <v>19</v>
      </c>
      <c r="K22">
        <v>20</v>
      </c>
      <c r="L22">
        <v>15</v>
      </c>
      <c r="M22">
        <v>15</v>
      </c>
    </row>
    <row r="23" spans="1:13" x14ac:dyDescent="0.35">
      <c r="A23">
        <v>3250</v>
      </c>
      <c r="B23" t="s">
        <v>48</v>
      </c>
      <c r="C23" t="s">
        <v>22</v>
      </c>
      <c r="D23" s="15">
        <v>45367</v>
      </c>
      <c r="E23" t="s">
        <v>19</v>
      </c>
      <c r="F23">
        <v>5</v>
      </c>
      <c r="G23" t="s">
        <v>24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 x14ac:dyDescent="0.35">
      <c r="A24">
        <v>3458</v>
      </c>
      <c r="B24" t="s">
        <v>247</v>
      </c>
      <c r="C24" t="s">
        <v>18</v>
      </c>
      <c r="D24" s="15">
        <v>45575</v>
      </c>
      <c r="E24" t="s">
        <v>19</v>
      </c>
      <c r="F24">
        <v>15</v>
      </c>
      <c r="G24" t="s">
        <v>24</v>
      </c>
      <c r="H24" t="s">
        <v>19</v>
      </c>
      <c r="I24">
        <v>30</v>
      </c>
      <c r="J24" t="s">
        <v>19</v>
      </c>
      <c r="K24">
        <v>20</v>
      </c>
      <c r="L24">
        <v>3</v>
      </c>
      <c r="M24">
        <v>62</v>
      </c>
    </row>
    <row r="25" spans="1:13" x14ac:dyDescent="0.35">
      <c r="A25">
        <v>3454</v>
      </c>
      <c r="B25" t="s">
        <v>243</v>
      </c>
      <c r="C25" t="s">
        <v>22</v>
      </c>
      <c r="D25" s="15">
        <v>45571</v>
      </c>
      <c r="E25" t="s">
        <v>19</v>
      </c>
      <c r="F25">
        <v>5</v>
      </c>
      <c r="G25" t="s">
        <v>24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 x14ac:dyDescent="0.35">
      <c r="A26">
        <v>3450</v>
      </c>
      <c r="B26" t="s">
        <v>241</v>
      </c>
      <c r="C26" t="s">
        <v>26</v>
      </c>
      <c r="D26" s="15">
        <v>45567</v>
      </c>
      <c r="E26" t="s">
        <v>19</v>
      </c>
      <c r="F26">
        <v>10</v>
      </c>
      <c r="G26" t="s">
        <v>24</v>
      </c>
      <c r="H26" t="s">
        <v>23</v>
      </c>
      <c r="I26" t="s">
        <v>311</v>
      </c>
      <c r="J26" t="s">
        <v>19</v>
      </c>
      <c r="K26">
        <v>20</v>
      </c>
      <c r="L26">
        <v>15</v>
      </c>
      <c r="M26">
        <v>15</v>
      </c>
    </row>
    <row r="27" spans="1:13" x14ac:dyDescent="0.35">
      <c r="A27">
        <v>3254</v>
      </c>
      <c r="B27" t="s">
        <v>52</v>
      </c>
      <c r="C27" t="s">
        <v>18</v>
      </c>
      <c r="D27" s="15">
        <v>45371</v>
      </c>
      <c r="E27" t="s">
        <v>19</v>
      </c>
      <c r="F27">
        <v>15</v>
      </c>
      <c r="G27" t="s">
        <v>24</v>
      </c>
      <c r="H27" t="s">
        <v>19</v>
      </c>
      <c r="I27">
        <v>30</v>
      </c>
      <c r="J27" t="s">
        <v>19</v>
      </c>
      <c r="K27">
        <v>20</v>
      </c>
      <c r="L27">
        <v>20</v>
      </c>
      <c r="M27">
        <v>45</v>
      </c>
    </row>
    <row r="28" spans="1:13" x14ac:dyDescent="0.35">
      <c r="A28">
        <v>3446</v>
      </c>
      <c r="B28" t="s">
        <v>237</v>
      </c>
      <c r="C28" t="s">
        <v>18</v>
      </c>
      <c r="D28" s="15">
        <v>45563</v>
      </c>
      <c r="E28" t="s">
        <v>19</v>
      </c>
      <c r="F28">
        <v>15</v>
      </c>
      <c r="G28" t="s">
        <v>24</v>
      </c>
      <c r="H28" t="s">
        <v>19</v>
      </c>
      <c r="I28">
        <v>30</v>
      </c>
      <c r="J28" t="s">
        <v>19</v>
      </c>
      <c r="K28">
        <v>20</v>
      </c>
      <c r="L28">
        <v>5</v>
      </c>
      <c r="M28">
        <v>60</v>
      </c>
    </row>
    <row r="29" spans="1:13" x14ac:dyDescent="0.35">
      <c r="A29">
        <v>3442</v>
      </c>
      <c r="B29" t="s">
        <v>234</v>
      </c>
      <c r="C29" t="s">
        <v>22</v>
      </c>
      <c r="D29" s="15">
        <v>45559</v>
      </c>
      <c r="E29" t="s">
        <v>19</v>
      </c>
      <c r="F29">
        <v>5</v>
      </c>
      <c r="G29" t="s">
        <v>24</v>
      </c>
      <c r="H29" t="s">
        <v>23</v>
      </c>
      <c r="I29" t="s">
        <v>311</v>
      </c>
      <c r="J29" t="s">
        <v>23</v>
      </c>
      <c r="K29">
        <v>0</v>
      </c>
      <c r="L29">
        <v>0</v>
      </c>
      <c r="M29">
        <v>5</v>
      </c>
    </row>
    <row r="30" spans="1:13" x14ac:dyDescent="0.35">
      <c r="A30">
        <v>3438</v>
      </c>
      <c r="B30" t="s">
        <v>230</v>
      </c>
      <c r="C30" t="s">
        <v>26</v>
      </c>
      <c r="D30" s="15">
        <v>45555</v>
      </c>
      <c r="E30" t="s">
        <v>19</v>
      </c>
      <c r="F30">
        <v>10</v>
      </c>
      <c r="G30" t="s">
        <v>24</v>
      </c>
      <c r="H30" t="s">
        <v>23</v>
      </c>
      <c r="I30" t="s">
        <v>311</v>
      </c>
      <c r="J30" t="s">
        <v>19</v>
      </c>
      <c r="K30">
        <v>20</v>
      </c>
      <c r="L30">
        <v>10</v>
      </c>
      <c r="M30">
        <v>20</v>
      </c>
    </row>
    <row r="31" spans="1:13" x14ac:dyDescent="0.35">
      <c r="A31">
        <v>3258</v>
      </c>
      <c r="B31" t="s">
        <v>56</v>
      </c>
      <c r="C31" t="s">
        <v>26</v>
      </c>
      <c r="D31" s="15">
        <v>45375</v>
      </c>
      <c r="E31" t="s">
        <v>19</v>
      </c>
      <c r="F31">
        <v>10</v>
      </c>
      <c r="G31" t="s">
        <v>24</v>
      </c>
      <c r="H31" t="s">
        <v>23</v>
      </c>
      <c r="I31" t="s">
        <v>311</v>
      </c>
      <c r="J31" t="s">
        <v>19</v>
      </c>
      <c r="K31">
        <v>20</v>
      </c>
      <c r="L31">
        <v>15</v>
      </c>
      <c r="M31">
        <v>15</v>
      </c>
    </row>
    <row r="32" spans="1:13" x14ac:dyDescent="0.35">
      <c r="A32">
        <v>3432</v>
      </c>
      <c r="B32" t="s">
        <v>224</v>
      </c>
      <c r="C32" t="s">
        <v>26</v>
      </c>
      <c r="D32" s="15">
        <v>45549</v>
      </c>
      <c r="E32" t="s">
        <v>19</v>
      </c>
      <c r="F32">
        <v>10</v>
      </c>
      <c r="G32" t="s">
        <v>24</v>
      </c>
      <c r="H32" t="s">
        <v>23</v>
      </c>
      <c r="I32" t="s">
        <v>311</v>
      </c>
      <c r="J32" t="s">
        <v>19</v>
      </c>
      <c r="K32">
        <v>20</v>
      </c>
      <c r="L32">
        <v>15</v>
      </c>
      <c r="M32">
        <v>15</v>
      </c>
    </row>
    <row r="33" spans="1:13" x14ac:dyDescent="0.35">
      <c r="A33">
        <v>3428</v>
      </c>
      <c r="B33" t="s">
        <v>220</v>
      </c>
      <c r="C33" t="s">
        <v>18</v>
      </c>
      <c r="D33" s="15">
        <v>45545</v>
      </c>
      <c r="E33" t="s">
        <v>19</v>
      </c>
      <c r="F33">
        <v>15</v>
      </c>
      <c r="G33" t="s">
        <v>24</v>
      </c>
      <c r="H33" t="s">
        <v>19</v>
      </c>
      <c r="I33">
        <v>30</v>
      </c>
      <c r="J33" t="s">
        <v>19</v>
      </c>
      <c r="K33">
        <v>20</v>
      </c>
      <c r="L33">
        <v>3</v>
      </c>
      <c r="M33">
        <v>62</v>
      </c>
    </row>
    <row r="34" spans="1:13" x14ac:dyDescent="0.35">
      <c r="A34">
        <v>3424</v>
      </c>
      <c r="B34" t="s">
        <v>43</v>
      </c>
      <c r="C34" t="s">
        <v>22</v>
      </c>
      <c r="D34" s="15">
        <v>45541</v>
      </c>
      <c r="E34" t="s">
        <v>19</v>
      </c>
      <c r="F34">
        <v>5</v>
      </c>
      <c r="G34" t="s">
        <v>24</v>
      </c>
      <c r="H34" t="s">
        <v>23</v>
      </c>
      <c r="I34" t="s">
        <v>311</v>
      </c>
      <c r="J34" t="s">
        <v>23</v>
      </c>
      <c r="K34">
        <v>0</v>
      </c>
      <c r="L34">
        <v>0</v>
      </c>
      <c r="M34">
        <v>5</v>
      </c>
    </row>
    <row r="35" spans="1:13" x14ac:dyDescent="0.35">
      <c r="A35">
        <v>3262</v>
      </c>
      <c r="B35" t="s">
        <v>60</v>
      </c>
      <c r="C35" t="s">
        <v>22</v>
      </c>
      <c r="D35" s="15">
        <v>45379</v>
      </c>
      <c r="E35" t="s">
        <v>19</v>
      </c>
      <c r="F35">
        <v>5</v>
      </c>
      <c r="G35" t="s">
        <v>24</v>
      </c>
      <c r="H35" t="s">
        <v>23</v>
      </c>
      <c r="I35" t="s">
        <v>311</v>
      </c>
      <c r="J35" t="s">
        <v>23</v>
      </c>
      <c r="K35">
        <v>0</v>
      </c>
      <c r="L35">
        <v>0</v>
      </c>
      <c r="M35">
        <v>5</v>
      </c>
    </row>
    <row r="36" spans="1:13" x14ac:dyDescent="0.35">
      <c r="A36">
        <v>3420</v>
      </c>
      <c r="B36" t="s">
        <v>215</v>
      </c>
      <c r="C36" t="s">
        <v>26</v>
      </c>
      <c r="D36" s="15">
        <v>45537</v>
      </c>
      <c r="E36" t="s">
        <v>19</v>
      </c>
      <c r="F36">
        <v>10</v>
      </c>
      <c r="G36" t="s">
        <v>24</v>
      </c>
      <c r="H36" t="s">
        <v>23</v>
      </c>
      <c r="I36" t="s">
        <v>311</v>
      </c>
      <c r="J36" t="s">
        <v>19</v>
      </c>
      <c r="K36">
        <v>20</v>
      </c>
      <c r="L36">
        <v>15</v>
      </c>
      <c r="M36">
        <v>15</v>
      </c>
    </row>
    <row r="37" spans="1:13" x14ac:dyDescent="0.35">
      <c r="A37">
        <v>3416</v>
      </c>
      <c r="B37" t="s">
        <v>211</v>
      </c>
      <c r="C37" t="s">
        <v>18</v>
      </c>
      <c r="D37" s="15">
        <v>45533</v>
      </c>
      <c r="E37" t="s">
        <v>19</v>
      </c>
      <c r="F37">
        <v>15</v>
      </c>
      <c r="G37" t="s">
        <v>24</v>
      </c>
      <c r="H37" t="s">
        <v>19</v>
      </c>
      <c r="I37">
        <v>30</v>
      </c>
      <c r="J37" t="s">
        <v>19</v>
      </c>
      <c r="K37">
        <v>20</v>
      </c>
      <c r="L37">
        <v>5</v>
      </c>
      <c r="M37">
        <v>60</v>
      </c>
    </row>
    <row r="38" spans="1:13" x14ac:dyDescent="0.35">
      <c r="A38">
        <v>3412</v>
      </c>
      <c r="B38" t="s">
        <v>207</v>
      </c>
      <c r="C38" t="s">
        <v>22</v>
      </c>
      <c r="D38" s="15">
        <v>45529</v>
      </c>
      <c r="E38" t="s">
        <v>19</v>
      </c>
      <c r="F38">
        <v>5</v>
      </c>
      <c r="G38" t="s">
        <v>24</v>
      </c>
      <c r="H38" t="s">
        <v>23</v>
      </c>
      <c r="I38" t="s">
        <v>311</v>
      </c>
      <c r="J38" t="s">
        <v>23</v>
      </c>
      <c r="K38">
        <v>0</v>
      </c>
      <c r="L38">
        <v>0</v>
      </c>
      <c r="M38">
        <v>5</v>
      </c>
    </row>
    <row r="39" spans="1:13" x14ac:dyDescent="0.35">
      <c r="A39">
        <v>3408</v>
      </c>
      <c r="B39" t="s">
        <v>203</v>
      </c>
      <c r="C39" t="s">
        <v>26</v>
      </c>
      <c r="D39" s="15">
        <v>45525</v>
      </c>
      <c r="E39" t="s">
        <v>19</v>
      </c>
      <c r="F39">
        <v>10</v>
      </c>
      <c r="G39" t="s">
        <v>24</v>
      </c>
      <c r="H39" t="s">
        <v>23</v>
      </c>
      <c r="I39" t="s">
        <v>311</v>
      </c>
      <c r="J39" t="s">
        <v>19</v>
      </c>
      <c r="K39">
        <v>20</v>
      </c>
      <c r="L39">
        <v>10</v>
      </c>
      <c r="M39">
        <v>20</v>
      </c>
    </row>
    <row r="40" spans="1:13" x14ac:dyDescent="0.35">
      <c r="A40">
        <v>3404</v>
      </c>
      <c r="B40" t="s">
        <v>199</v>
      </c>
      <c r="C40" t="s">
        <v>26</v>
      </c>
      <c r="D40" s="15">
        <v>45521</v>
      </c>
      <c r="E40" t="s">
        <v>19</v>
      </c>
      <c r="F40">
        <v>10</v>
      </c>
      <c r="G40" t="s">
        <v>24</v>
      </c>
      <c r="H40" t="s">
        <v>23</v>
      </c>
      <c r="I40" t="s">
        <v>311</v>
      </c>
      <c r="J40" t="s">
        <v>19</v>
      </c>
      <c r="K40">
        <v>20</v>
      </c>
      <c r="L40">
        <v>15</v>
      </c>
      <c r="M40">
        <v>15</v>
      </c>
    </row>
    <row r="41" spans="1:13" x14ac:dyDescent="0.35">
      <c r="A41">
        <v>3268</v>
      </c>
      <c r="B41" t="s">
        <v>66</v>
      </c>
      <c r="C41" t="s">
        <v>26</v>
      </c>
      <c r="D41" s="15">
        <v>45385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10</v>
      </c>
      <c r="M41">
        <v>20</v>
      </c>
    </row>
    <row r="42" spans="1:13" x14ac:dyDescent="0.35">
      <c r="A42">
        <v>3400</v>
      </c>
      <c r="B42" t="s">
        <v>195</v>
      </c>
      <c r="C42" t="s">
        <v>18</v>
      </c>
      <c r="D42" s="15">
        <v>45517</v>
      </c>
      <c r="E42" t="s">
        <v>19</v>
      </c>
      <c r="F42">
        <v>15</v>
      </c>
      <c r="G42" t="s">
        <v>24</v>
      </c>
      <c r="H42" t="s">
        <v>19</v>
      </c>
      <c r="I42">
        <v>30</v>
      </c>
      <c r="J42" t="s">
        <v>19</v>
      </c>
      <c r="K42">
        <v>20</v>
      </c>
      <c r="L42">
        <v>5</v>
      </c>
      <c r="M42">
        <v>60</v>
      </c>
    </row>
    <row r="43" spans="1:13" x14ac:dyDescent="0.35">
      <c r="A43">
        <v>3396</v>
      </c>
      <c r="B43" t="s">
        <v>192</v>
      </c>
      <c r="C43" t="s">
        <v>22</v>
      </c>
      <c r="D43" s="15">
        <v>45513</v>
      </c>
      <c r="E43" t="s">
        <v>19</v>
      </c>
      <c r="F43">
        <v>5</v>
      </c>
      <c r="G43" t="s">
        <v>24</v>
      </c>
      <c r="H43" t="s">
        <v>23</v>
      </c>
      <c r="I43" t="s">
        <v>311</v>
      </c>
      <c r="J43" t="s">
        <v>23</v>
      </c>
      <c r="K43">
        <v>0</v>
      </c>
      <c r="L43">
        <v>0</v>
      </c>
      <c r="M43">
        <v>5</v>
      </c>
    </row>
    <row r="44" spans="1:13" x14ac:dyDescent="0.35">
      <c r="A44">
        <v>3392</v>
      </c>
      <c r="B44" t="s">
        <v>188</v>
      </c>
      <c r="C44" t="s">
        <v>26</v>
      </c>
      <c r="D44" s="15">
        <v>45509</v>
      </c>
      <c r="E44" t="s">
        <v>19</v>
      </c>
      <c r="F44">
        <v>10</v>
      </c>
      <c r="G44" t="s">
        <v>24</v>
      </c>
      <c r="H44" t="s">
        <v>23</v>
      </c>
      <c r="I44" t="s">
        <v>311</v>
      </c>
      <c r="J44" t="s">
        <v>19</v>
      </c>
      <c r="K44">
        <v>20</v>
      </c>
      <c r="L44">
        <v>15</v>
      </c>
      <c r="M44">
        <v>15</v>
      </c>
    </row>
    <row r="45" spans="1:13" x14ac:dyDescent="0.35">
      <c r="A45">
        <v>3272</v>
      </c>
      <c r="B45" t="s">
        <v>70</v>
      </c>
      <c r="C45" t="s">
        <v>22</v>
      </c>
      <c r="D45" s="15">
        <v>45389</v>
      </c>
      <c r="E45" t="s">
        <v>19</v>
      </c>
      <c r="F45">
        <v>5</v>
      </c>
      <c r="G45" t="s">
        <v>24</v>
      </c>
      <c r="H45" t="s">
        <v>23</v>
      </c>
      <c r="I45" t="s">
        <v>311</v>
      </c>
      <c r="J45" t="s">
        <v>23</v>
      </c>
      <c r="K45">
        <v>0</v>
      </c>
      <c r="L45">
        <v>0</v>
      </c>
      <c r="M45">
        <v>5</v>
      </c>
    </row>
    <row r="46" spans="1:13" x14ac:dyDescent="0.35">
      <c r="A46">
        <v>3388</v>
      </c>
      <c r="B46" t="s">
        <v>185</v>
      </c>
      <c r="C46" t="s">
        <v>18</v>
      </c>
      <c r="D46" s="15">
        <v>45505</v>
      </c>
      <c r="E46" t="s">
        <v>19</v>
      </c>
      <c r="F46">
        <v>15</v>
      </c>
      <c r="G46" t="s">
        <v>24</v>
      </c>
      <c r="H46" t="s">
        <v>19</v>
      </c>
      <c r="I46">
        <v>30</v>
      </c>
      <c r="J46" t="s">
        <v>19</v>
      </c>
      <c r="K46">
        <v>20</v>
      </c>
      <c r="L46">
        <v>3</v>
      </c>
      <c r="M46">
        <v>62</v>
      </c>
    </row>
    <row r="47" spans="1:13" x14ac:dyDescent="0.35">
      <c r="A47">
        <v>3384</v>
      </c>
      <c r="B47" t="s">
        <v>181</v>
      </c>
      <c r="C47" t="s">
        <v>22</v>
      </c>
      <c r="D47" s="15">
        <v>45501</v>
      </c>
      <c r="E47" t="s">
        <v>19</v>
      </c>
      <c r="F47">
        <v>5</v>
      </c>
      <c r="G47" t="s">
        <v>24</v>
      </c>
      <c r="H47" t="s">
        <v>23</v>
      </c>
      <c r="I47" t="s">
        <v>311</v>
      </c>
      <c r="J47" t="s">
        <v>23</v>
      </c>
      <c r="K47">
        <v>0</v>
      </c>
      <c r="L47">
        <v>0</v>
      </c>
      <c r="M47">
        <v>5</v>
      </c>
    </row>
    <row r="48" spans="1:13" x14ac:dyDescent="0.35">
      <c r="A48">
        <v>3380</v>
      </c>
      <c r="B48" t="s">
        <v>177</v>
      </c>
      <c r="C48" t="s">
        <v>26</v>
      </c>
      <c r="D48" s="15">
        <v>45497</v>
      </c>
      <c r="E48" t="s">
        <v>19</v>
      </c>
      <c r="F48">
        <v>10</v>
      </c>
      <c r="G48" t="s">
        <v>24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 x14ac:dyDescent="0.35">
      <c r="A49">
        <v>3276</v>
      </c>
      <c r="B49" t="s">
        <v>74</v>
      </c>
      <c r="C49" t="s">
        <v>18</v>
      </c>
      <c r="D49" s="15">
        <v>45393</v>
      </c>
      <c r="E49" t="s">
        <v>19</v>
      </c>
      <c r="F49">
        <v>15</v>
      </c>
      <c r="G49" t="s">
        <v>24</v>
      </c>
      <c r="H49" t="s">
        <v>19</v>
      </c>
      <c r="I49">
        <v>30</v>
      </c>
      <c r="J49" t="s">
        <v>19</v>
      </c>
      <c r="K49">
        <v>20</v>
      </c>
      <c r="L49">
        <v>5</v>
      </c>
      <c r="M49">
        <v>60</v>
      </c>
    </row>
    <row r="50" spans="1:13" x14ac:dyDescent="0.35">
      <c r="A50">
        <v>3376</v>
      </c>
      <c r="B50" t="s">
        <v>173</v>
      </c>
      <c r="C50" t="s">
        <v>18</v>
      </c>
      <c r="D50" s="15">
        <v>45493</v>
      </c>
      <c r="E50" t="s">
        <v>19</v>
      </c>
      <c r="F50">
        <v>15</v>
      </c>
      <c r="G50" t="s">
        <v>24</v>
      </c>
      <c r="H50" t="s">
        <v>19</v>
      </c>
      <c r="I50">
        <v>30</v>
      </c>
      <c r="J50" t="s">
        <v>19</v>
      </c>
      <c r="K50">
        <v>20</v>
      </c>
      <c r="L50">
        <v>5</v>
      </c>
      <c r="M50">
        <v>60</v>
      </c>
    </row>
    <row r="51" spans="1:13" x14ac:dyDescent="0.35">
      <c r="A51">
        <v>3372</v>
      </c>
      <c r="B51" t="s">
        <v>169</v>
      </c>
      <c r="C51" t="s">
        <v>22</v>
      </c>
      <c r="D51" s="15">
        <v>45489</v>
      </c>
      <c r="E51" t="s">
        <v>19</v>
      </c>
      <c r="F51">
        <v>5</v>
      </c>
      <c r="G51" t="s">
        <v>24</v>
      </c>
      <c r="H51" t="s">
        <v>23</v>
      </c>
      <c r="I51" t="s">
        <v>311</v>
      </c>
      <c r="J51" t="s">
        <v>23</v>
      </c>
      <c r="K51">
        <v>0</v>
      </c>
      <c r="L51">
        <v>0</v>
      </c>
      <c r="M51">
        <v>5</v>
      </c>
    </row>
    <row r="52" spans="1:13" x14ac:dyDescent="0.35">
      <c r="A52">
        <v>3368</v>
      </c>
      <c r="B52" t="s">
        <v>165</v>
      </c>
      <c r="C52" t="s">
        <v>26</v>
      </c>
      <c r="D52" s="15">
        <v>45485</v>
      </c>
      <c r="E52" t="s">
        <v>19</v>
      </c>
      <c r="F52">
        <v>10</v>
      </c>
      <c r="G52" t="s">
        <v>24</v>
      </c>
      <c r="H52" t="s">
        <v>23</v>
      </c>
      <c r="I52" t="s">
        <v>311</v>
      </c>
      <c r="J52" t="s">
        <v>19</v>
      </c>
      <c r="K52">
        <v>20</v>
      </c>
      <c r="L52">
        <v>10</v>
      </c>
      <c r="M52">
        <v>20</v>
      </c>
    </row>
    <row r="53" spans="1:13" x14ac:dyDescent="0.35">
      <c r="A53">
        <v>3280</v>
      </c>
      <c r="B53" t="s">
        <v>78</v>
      </c>
      <c r="C53" t="s">
        <v>26</v>
      </c>
      <c r="D53" s="15">
        <v>45397</v>
      </c>
      <c r="E53" t="s">
        <v>19</v>
      </c>
      <c r="F53">
        <v>10</v>
      </c>
      <c r="G53" t="s">
        <v>24</v>
      </c>
      <c r="H53" t="s">
        <v>23</v>
      </c>
      <c r="I53" t="s">
        <v>311</v>
      </c>
      <c r="J53" t="s">
        <v>19</v>
      </c>
      <c r="K53">
        <v>20</v>
      </c>
      <c r="L53">
        <v>15</v>
      </c>
      <c r="M53">
        <v>15</v>
      </c>
    </row>
    <row r="54" spans="1:13" x14ac:dyDescent="0.35">
      <c r="A54">
        <v>3362</v>
      </c>
      <c r="B54" t="s">
        <v>159</v>
      </c>
      <c r="C54" t="s">
        <v>26</v>
      </c>
      <c r="D54" s="15">
        <v>45479</v>
      </c>
      <c r="E54" t="s">
        <v>19</v>
      </c>
      <c r="F54">
        <v>10</v>
      </c>
      <c r="G54" t="s">
        <v>24</v>
      </c>
      <c r="H54" t="s">
        <v>23</v>
      </c>
      <c r="I54" t="s">
        <v>311</v>
      </c>
      <c r="J54" t="s">
        <v>19</v>
      </c>
      <c r="K54">
        <v>20</v>
      </c>
      <c r="L54">
        <v>15</v>
      </c>
      <c r="M54">
        <v>15</v>
      </c>
    </row>
    <row r="55" spans="1:13" x14ac:dyDescent="0.35">
      <c r="A55">
        <v>3358</v>
      </c>
      <c r="B55" t="s">
        <v>155</v>
      </c>
      <c r="C55" t="s">
        <v>18</v>
      </c>
      <c r="D55" s="15">
        <v>45475</v>
      </c>
      <c r="E55" t="s">
        <v>19</v>
      </c>
      <c r="F55">
        <v>15</v>
      </c>
      <c r="G55" t="s">
        <v>24</v>
      </c>
      <c r="H55" t="s">
        <v>19</v>
      </c>
      <c r="I55">
        <v>30</v>
      </c>
      <c r="J55" t="s">
        <v>19</v>
      </c>
      <c r="K55">
        <v>20</v>
      </c>
      <c r="L55">
        <v>3</v>
      </c>
      <c r="M55">
        <v>62</v>
      </c>
    </row>
    <row r="56" spans="1:13" x14ac:dyDescent="0.35">
      <c r="A56">
        <v>3354</v>
      </c>
      <c r="B56" t="s">
        <v>151</v>
      </c>
      <c r="C56" t="s">
        <v>22</v>
      </c>
      <c r="D56" s="15">
        <v>45471</v>
      </c>
      <c r="E56" t="s">
        <v>19</v>
      </c>
      <c r="F56">
        <v>5</v>
      </c>
      <c r="G56" t="s">
        <v>24</v>
      </c>
      <c r="H56" t="s">
        <v>23</v>
      </c>
      <c r="I56" t="s">
        <v>311</v>
      </c>
      <c r="J56" t="s">
        <v>23</v>
      </c>
      <c r="K56">
        <v>0</v>
      </c>
      <c r="L56">
        <v>0</v>
      </c>
      <c r="M56">
        <v>5</v>
      </c>
    </row>
    <row r="57" spans="1:13" x14ac:dyDescent="0.35">
      <c r="A57">
        <v>3284</v>
      </c>
      <c r="B57" t="s">
        <v>82</v>
      </c>
      <c r="C57" t="s">
        <v>22</v>
      </c>
      <c r="D57" s="15">
        <v>45401</v>
      </c>
      <c r="E57" t="s">
        <v>19</v>
      </c>
      <c r="F57">
        <v>5</v>
      </c>
      <c r="G57" t="s">
        <v>24</v>
      </c>
      <c r="H57" t="s">
        <v>23</v>
      </c>
      <c r="I57" t="s">
        <v>311</v>
      </c>
      <c r="J57" t="s">
        <v>23</v>
      </c>
      <c r="K57">
        <v>0</v>
      </c>
      <c r="L57">
        <v>0</v>
      </c>
      <c r="M57">
        <v>5</v>
      </c>
    </row>
    <row r="58" spans="1:13" x14ac:dyDescent="0.35">
      <c r="A58">
        <v>3350</v>
      </c>
      <c r="B58" t="s">
        <v>147</v>
      </c>
      <c r="C58" t="s">
        <v>26</v>
      </c>
      <c r="D58" s="15">
        <v>45467</v>
      </c>
      <c r="E58" t="s">
        <v>19</v>
      </c>
      <c r="F58">
        <v>10</v>
      </c>
      <c r="G58" t="s">
        <v>24</v>
      </c>
      <c r="H58" t="s">
        <v>23</v>
      </c>
      <c r="I58" t="s">
        <v>311</v>
      </c>
      <c r="J58" t="s">
        <v>19</v>
      </c>
      <c r="K58">
        <v>20</v>
      </c>
      <c r="L58">
        <v>15</v>
      </c>
      <c r="M58">
        <v>15</v>
      </c>
    </row>
    <row r="59" spans="1:13" x14ac:dyDescent="0.35">
      <c r="A59">
        <v>3346</v>
      </c>
      <c r="B59" t="s">
        <v>144</v>
      </c>
      <c r="C59" t="s">
        <v>18</v>
      </c>
      <c r="D59" s="15">
        <v>45463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5</v>
      </c>
      <c r="M59">
        <v>60</v>
      </c>
    </row>
    <row r="60" spans="1:13" x14ac:dyDescent="0.35">
      <c r="A60">
        <v>3342</v>
      </c>
      <c r="B60" t="s">
        <v>140</v>
      </c>
      <c r="C60" t="s">
        <v>22</v>
      </c>
      <c r="D60" s="15">
        <v>45459</v>
      </c>
      <c r="E60" t="s">
        <v>19</v>
      </c>
      <c r="F60">
        <v>5</v>
      </c>
      <c r="G60" t="s">
        <v>24</v>
      </c>
      <c r="H60" t="s">
        <v>23</v>
      </c>
      <c r="I60" t="s">
        <v>311</v>
      </c>
      <c r="J60" t="s">
        <v>23</v>
      </c>
      <c r="K60">
        <v>0</v>
      </c>
      <c r="L60">
        <v>0</v>
      </c>
      <c r="M60">
        <v>5</v>
      </c>
    </row>
    <row r="61" spans="1:13" x14ac:dyDescent="0.35">
      <c r="A61">
        <v>3288</v>
      </c>
      <c r="B61" t="s">
        <v>86</v>
      </c>
      <c r="C61" t="s">
        <v>18</v>
      </c>
      <c r="D61" s="15">
        <v>45405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3</v>
      </c>
      <c r="M61">
        <v>62</v>
      </c>
    </row>
    <row r="62" spans="1:13" x14ac:dyDescent="0.35">
      <c r="A62">
        <v>3338</v>
      </c>
      <c r="B62" t="s">
        <v>136</v>
      </c>
      <c r="C62" t="s">
        <v>26</v>
      </c>
      <c r="D62" s="15">
        <v>45455</v>
      </c>
      <c r="E62" t="s">
        <v>19</v>
      </c>
      <c r="F62">
        <v>10</v>
      </c>
      <c r="G62" t="s">
        <v>24</v>
      </c>
      <c r="H62" t="s">
        <v>23</v>
      </c>
      <c r="I62" t="s">
        <v>311</v>
      </c>
      <c r="J62" t="s">
        <v>19</v>
      </c>
      <c r="K62">
        <v>20</v>
      </c>
      <c r="L62">
        <v>10</v>
      </c>
      <c r="M62">
        <v>20</v>
      </c>
    </row>
    <row r="63" spans="1:13" x14ac:dyDescent="0.35">
      <c r="A63">
        <v>3292</v>
      </c>
      <c r="B63" t="s">
        <v>90</v>
      </c>
      <c r="C63" t="s">
        <v>26</v>
      </c>
      <c r="D63" s="15">
        <v>45409</v>
      </c>
      <c r="E63" t="s">
        <v>19</v>
      </c>
      <c r="F63">
        <v>10</v>
      </c>
      <c r="G63" t="s">
        <v>24</v>
      </c>
      <c r="H63" t="s">
        <v>23</v>
      </c>
      <c r="I63" t="s">
        <v>311</v>
      </c>
      <c r="J63" t="s">
        <v>19</v>
      </c>
      <c r="K63">
        <v>20</v>
      </c>
      <c r="L63">
        <v>15</v>
      </c>
      <c r="M63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B95D-FB6F-4DB4-9667-592E410031C2}">
  <sheetPr>
    <tabColor theme="3" tint="0.749992370372631"/>
  </sheetPr>
  <dimension ref="A1:M74"/>
  <sheetViews>
    <sheetView workbookViewId="0">
      <selection activeCell="X2" sqref="X2"/>
    </sheetView>
  </sheetViews>
  <sheetFormatPr defaultRowHeight="14.5" x14ac:dyDescent="0.35"/>
  <cols>
    <col min="1" max="1" width="15" bestFit="1" customWidth="1"/>
    <col min="2" max="2" width="17.1796875" bestFit="1" customWidth="1"/>
    <col min="3" max="3" width="8.81640625" bestFit="1" customWidth="1"/>
    <col min="4" max="4" width="11.81640625" bestFit="1" customWidth="1"/>
    <col min="5" max="5" width="15.08984375" bestFit="1" customWidth="1"/>
    <col min="6" max="6" width="19.1796875" bestFit="1" customWidth="1"/>
    <col min="7" max="7" width="18.90625" bestFit="1" customWidth="1"/>
    <col min="8" max="8" width="20.7265625" bestFit="1" customWidth="1"/>
    <col min="9" max="9" width="26" bestFit="1" customWidth="1"/>
    <col min="10" max="10" width="22.90625" bestFit="1" customWidth="1"/>
    <col min="11" max="11" width="27.81640625" bestFit="1" customWidth="1"/>
    <col min="12" max="12" width="15.36328125" bestFit="1" customWidth="1"/>
    <col min="13" max="13" width="12.6328125" bestFit="1" customWidth="1"/>
  </cols>
  <sheetData>
    <row r="1" spans="1:13" x14ac:dyDescent="0.35">
      <c r="A1" s="16" t="s">
        <v>320</v>
      </c>
    </row>
    <row r="3" spans="1:13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5">
      <c r="A4">
        <v>3232</v>
      </c>
      <c r="B4" t="s">
        <v>21</v>
      </c>
      <c r="C4" t="s">
        <v>22</v>
      </c>
      <c r="D4" s="15">
        <v>45306</v>
      </c>
      <c r="E4" t="s">
        <v>23</v>
      </c>
      <c r="F4">
        <v>5</v>
      </c>
      <c r="G4" t="s">
        <v>24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 x14ac:dyDescent="0.35">
      <c r="A5">
        <v>3516</v>
      </c>
      <c r="B5" t="s">
        <v>160</v>
      </c>
      <c r="C5" t="s">
        <v>22</v>
      </c>
      <c r="D5" s="15">
        <v>45633</v>
      </c>
      <c r="E5" t="s">
        <v>19</v>
      </c>
      <c r="F5">
        <v>5</v>
      </c>
      <c r="G5" t="s">
        <v>24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 x14ac:dyDescent="0.35">
      <c r="A6">
        <v>3504</v>
      </c>
      <c r="B6" t="s">
        <v>290</v>
      </c>
      <c r="C6" t="s">
        <v>22</v>
      </c>
      <c r="D6" s="15">
        <v>45621</v>
      </c>
      <c r="E6" t="s">
        <v>19</v>
      </c>
      <c r="F6">
        <v>5</v>
      </c>
      <c r="G6" t="s">
        <v>24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 x14ac:dyDescent="0.35">
      <c r="A7">
        <v>3238</v>
      </c>
      <c r="B7" t="s">
        <v>36</v>
      </c>
      <c r="C7" t="s">
        <v>22</v>
      </c>
      <c r="D7" s="15">
        <v>45355</v>
      </c>
      <c r="E7" t="s">
        <v>19</v>
      </c>
      <c r="F7">
        <v>5</v>
      </c>
      <c r="G7" t="s">
        <v>24</v>
      </c>
      <c r="H7" t="s">
        <v>23</v>
      </c>
      <c r="I7" t="s">
        <v>311</v>
      </c>
      <c r="J7" t="s">
        <v>23</v>
      </c>
      <c r="K7">
        <v>0</v>
      </c>
      <c r="L7">
        <v>0</v>
      </c>
      <c r="M7">
        <v>5</v>
      </c>
    </row>
    <row r="8" spans="1:13" x14ac:dyDescent="0.35">
      <c r="A8">
        <v>3492</v>
      </c>
      <c r="B8" t="s">
        <v>279</v>
      </c>
      <c r="C8" t="s">
        <v>22</v>
      </c>
      <c r="D8" s="15">
        <v>45609</v>
      </c>
      <c r="E8" t="s">
        <v>19</v>
      </c>
      <c r="F8">
        <v>5</v>
      </c>
      <c r="G8" t="s">
        <v>24</v>
      </c>
      <c r="H8" t="s">
        <v>23</v>
      </c>
      <c r="I8" t="s">
        <v>311</v>
      </c>
      <c r="J8" t="s">
        <v>23</v>
      </c>
      <c r="K8">
        <v>0</v>
      </c>
      <c r="L8">
        <v>0</v>
      </c>
      <c r="M8">
        <v>5</v>
      </c>
    </row>
    <row r="9" spans="1:13" x14ac:dyDescent="0.35">
      <c r="A9">
        <v>3478</v>
      </c>
      <c r="B9" t="s">
        <v>265</v>
      </c>
      <c r="C9" t="s">
        <v>22</v>
      </c>
      <c r="D9" s="15">
        <v>45595</v>
      </c>
      <c r="E9" t="s">
        <v>19</v>
      </c>
      <c r="F9">
        <v>5</v>
      </c>
      <c r="G9" t="s">
        <v>24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 x14ac:dyDescent="0.35">
      <c r="A10">
        <v>3466</v>
      </c>
      <c r="B10" t="s">
        <v>254</v>
      </c>
      <c r="C10" t="s">
        <v>22</v>
      </c>
      <c r="D10" s="15">
        <v>45583</v>
      </c>
      <c r="E10" t="s">
        <v>19</v>
      </c>
      <c r="F10">
        <v>5</v>
      </c>
      <c r="G10" t="s">
        <v>24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 x14ac:dyDescent="0.35">
      <c r="A11">
        <v>3250</v>
      </c>
      <c r="B11" t="s">
        <v>48</v>
      </c>
      <c r="C11" t="s">
        <v>22</v>
      </c>
      <c r="D11" s="15">
        <v>45367</v>
      </c>
      <c r="E11" t="s">
        <v>19</v>
      </c>
      <c r="F11">
        <v>5</v>
      </c>
      <c r="G11" t="s">
        <v>24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 x14ac:dyDescent="0.35">
      <c r="A12">
        <v>3454</v>
      </c>
      <c r="B12" t="s">
        <v>243</v>
      </c>
      <c r="C12" t="s">
        <v>22</v>
      </c>
      <c r="D12" s="15">
        <v>45571</v>
      </c>
      <c r="E12" t="s">
        <v>19</v>
      </c>
      <c r="F12">
        <v>5</v>
      </c>
      <c r="G12" t="s">
        <v>24</v>
      </c>
      <c r="H12" t="s">
        <v>23</v>
      </c>
      <c r="I12" t="s">
        <v>311</v>
      </c>
      <c r="J12" t="s">
        <v>23</v>
      </c>
      <c r="K12">
        <v>0</v>
      </c>
      <c r="L12">
        <v>0</v>
      </c>
      <c r="M12">
        <v>5</v>
      </c>
    </row>
    <row r="13" spans="1:13" x14ac:dyDescent="0.35">
      <c r="A13">
        <v>3442</v>
      </c>
      <c r="B13" t="s">
        <v>234</v>
      </c>
      <c r="C13" t="s">
        <v>22</v>
      </c>
      <c r="D13" s="15">
        <v>45559</v>
      </c>
      <c r="E13" t="s">
        <v>19</v>
      </c>
      <c r="F13">
        <v>5</v>
      </c>
      <c r="G13" t="s">
        <v>24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 x14ac:dyDescent="0.35">
      <c r="A14">
        <v>3262</v>
      </c>
      <c r="B14" t="s">
        <v>60</v>
      </c>
      <c r="C14" t="s">
        <v>22</v>
      </c>
      <c r="D14" s="15">
        <v>45379</v>
      </c>
      <c r="E14" t="s">
        <v>19</v>
      </c>
      <c r="F14">
        <v>5</v>
      </c>
      <c r="G14" t="s">
        <v>24</v>
      </c>
      <c r="H14" t="s">
        <v>23</v>
      </c>
      <c r="I14" t="s">
        <v>311</v>
      </c>
      <c r="J14" t="s">
        <v>23</v>
      </c>
      <c r="K14">
        <v>0</v>
      </c>
      <c r="L14">
        <v>0</v>
      </c>
      <c r="M14">
        <v>5</v>
      </c>
    </row>
    <row r="15" spans="1:13" x14ac:dyDescent="0.35">
      <c r="A15">
        <v>3424</v>
      </c>
      <c r="B15" t="s">
        <v>43</v>
      </c>
      <c r="C15" t="s">
        <v>22</v>
      </c>
      <c r="D15" s="15">
        <v>45541</v>
      </c>
      <c r="E15" t="s">
        <v>19</v>
      </c>
      <c r="F15">
        <v>5</v>
      </c>
      <c r="G15" t="s">
        <v>24</v>
      </c>
      <c r="H15" t="s">
        <v>23</v>
      </c>
      <c r="I15" t="s">
        <v>311</v>
      </c>
      <c r="J15" t="s">
        <v>23</v>
      </c>
      <c r="K15">
        <v>0</v>
      </c>
      <c r="L15">
        <v>0</v>
      </c>
      <c r="M15">
        <v>5</v>
      </c>
    </row>
    <row r="16" spans="1:13" x14ac:dyDescent="0.35">
      <c r="A16">
        <v>3412</v>
      </c>
      <c r="B16" t="s">
        <v>207</v>
      </c>
      <c r="C16" t="s">
        <v>22</v>
      </c>
      <c r="D16" s="15">
        <v>45529</v>
      </c>
      <c r="E16" t="s">
        <v>19</v>
      </c>
      <c r="F16">
        <v>5</v>
      </c>
      <c r="G16" t="s">
        <v>24</v>
      </c>
      <c r="H16" t="s">
        <v>23</v>
      </c>
      <c r="I16" t="s">
        <v>311</v>
      </c>
      <c r="J16" t="s">
        <v>23</v>
      </c>
      <c r="K16">
        <v>0</v>
      </c>
      <c r="L16">
        <v>0</v>
      </c>
      <c r="M16">
        <v>5</v>
      </c>
    </row>
    <row r="17" spans="1:13" x14ac:dyDescent="0.35">
      <c r="A17">
        <v>3396</v>
      </c>
      <c r="B17" t="s">
        <v>192</v>
      </c>
      <c r="C17" t="s">
        <v>22</v>
      </c>
      <c r="D17" s="15">
        <v>45513</v>
      </c>
      <c r="E17" t="s">
        <v>19</v>
      </c>
      <c r="F17">
        <v>5</v>
      </c>
      <c r="G17" t="s">
        <v>24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 x14ac:dyDescent="0.35">
      <c r="A18">
        <v>3272</v>
      </c>
      <c r="B18" t="s">
        <v>70</v>
      </c>
      <c r="C18" t="s">
        <v>22</v>
      </c>
      <c r="D18" s="15">
        <v>45389</v>
      </c>
      <c r="E18" t="s">
        <v>19</v>
      </c>
      <c r="F18">
        <v>5</v>
      </c>
      <c r="G18" t="s">
        <v>24</v>
      </c>
      <c r="H18" t="s">
        <v>23</v>
      </c>
      <c r="I18" t="s">
        <v>311</v>
      </c>
      <c r="J18" t="s">
        <v>23</v>
      </c>
      <c r="K18">
        <v>0</v>
      </c>
      <c r="L18">
        <v>0</v>
      </c>
      <c r="M18">
        <v>5</v>
      </c>
    </row>
    <row r="19" spans="1:13" x14ac:dyDescent="0.35">
      <c r="A19">
        <v>3384</v>
      </c>
      <c r="B19" t="s">
        <v>181</v>
      </c>
      <c r="C19" t="s">
        <v>22</v>
      </c>
      <c r="D19" s="15">
        <v>45501</v>
      </c>
      <c r="E19" t="s">
        <v>19</v>
      </c>
      <c r="F19">
        <v>5</v>
      </c>
      <c r="G19" t="s">
        <v>24</v>
      </c>
      <c r="H19" t="s">
        <v>23</v>
      </c>
      <c r="I19" t="s">
        <v>311</v>
      </c>
      <c r="J19" t="s">
        <v>23</v>
      </c>
      <c r="K19">
        <v>0</v>
      </c>
      <c r="L19">
        <v>0</v>
      </c>
      <c r="M19">
        <v>5</v>
      </c>
    </row>
    <row r="20" spans="1:13" x14ac:dyDescent="0.35">
      <c r="A20">
        <v>3372</v>
      </c>
      <c r="B20" t="s">
        <v>169</v>
      </c>
      <c r="C20" t="s">
        <v>22</v>
      </c>
      <c r="D20" s="15">
        <v>45489</v>
      </c>
      <c r="E20" t="s">
        <v>19</v>
      </c>
      <c r="F20">
        <v>5</v>
      </c>
      <c r="G20" t="s">
        <v>24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 x14ac:dyDescent="0.35">
      <c r="A21">
        <v>3284</v>
      </c>
      <c r="B21" t="s">
        <v>82</v>
      </c>
      <c r="C21" t="s">
        <v>22</v>
      </c>
      <c r="D21" s="15">
        <v>45401</v>
      </c>
      <c r="E21" t="s">
        <v>19</v>
      </c>
      <c r="F21">
        <v>5</v>
      </c>
      <c r="G21" t="s">
        <v>24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35">
      <c r="A22">
        <v>3354</v>
      </c>
      <c r="B22" t="s">
        <v>151</v>
      </c>
      <c r="C22" t="s">
        <v>22</v>
      </c>
      <c r="D22" s="15">
        <v>45471</v>
      </c>
      <c r="E22" t="s">
        <v>19</v>
      </c>
      <c r="F22">
        <v>5</v>
      </c>
      <c r="G22" t="s">
        <v>24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 x14ac:dyDescent="0.35">
      <c r="A23">
        <v>3342</v>
      </c>
      <c r="B23" t="s">
        <v>140</v>
      </c>
      <c r="C23" t="s">
        <v>22</v>
      </c>
      <c r="D23" s="15">
        <v>45459</v>
      </c>
      <c r="E23" t="s">
        <v>19</v>
      </c>
      <c r="F23">
        <v>5</v>
      </c>
      <c r="G23" t="s">
        <v>24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 x14ac:dyDescent="0.35">
      <c r="A24">
        <v>3332</v>
      </c>
      <c r="B24" t="s">
        <v>130</v>
      </c>
      <c r="C24" t="s">
        <v>22</v>
      </c>
      <c r="D24" s="15">
        <v>45449</v>
      </c>
      <c r="E24" t="s">
        <v>23</v>
      </c>
      <c r="F24">
        <v>5</v>
      </c>
      <c r="G24" t="s">
        <v>24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 x14ac:dyDescent="0.35">
      <c r="A25">
        <v>3326</v>
      </c>
      <c r="B25" t="s">
        <v>124</v>
      </c>
      <c r="C25" t="s">
        <v>22</v>
      </c>
      <c r="D25" s="15">
        <v>45443</v>
      </c>
      <c r="E25" t="s">
        <v>23</v>
      </c>
      <c r="F25">
        <v>5</v>
      </c>
      <c r="G25" t="s">
        <v>24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 x14ac:dyDescent="0.35">
      <c r="A26">
        <v>3314</v>
      </c>
      <c r="B26" t="s">
        <v>112</v>
      </c>
      <c r="C26" t="s">
        <v>22</v>
      </c>
      <c r="D26" s="15">
        <v>45431</v>
      </c>
      <c r="E26" t="s">
        <v>23</v>
      </c>
      <c r="F26">
        <v>5</v>
      </c>
      <c r="G26" t="s">
        <v>24</v>
      </c>
      <c r="H26" t="s">
        <v>23</v>
      </c>
      <c r="I26" t="s">
        <v>311</v>
      </c>
      <c r="J26" t="s">
        <v>23</v>
      </c>
      <c r="K26">
        <v>0</v>
      </c>
      <c r="L26">
        <v>0</v>
      </c>
      <c r="M26">
        <v>5</v>
      </c>
    </row>
    <row r="27" spans="1:13" x14ac:dyDescent="0.35">
      <c r="A27">
        <v>3302</v>
      </c>
      <c r="B27" t="s">
        <v>100</v>
      </c>
      <c r="C27" t="s">
        <v>22</v>
      </c>
      <c r="D27" s="15">
        <v>45419</v>
      </c>
      <c r="E27" t="s">
        <v>23</v>
      </c>
      <c r="F27">
        <v>5</v>
      </c>
      <c r="G27" t="s">
        <v>24</v>
      </c>
      <c r="H27" t="s">
        <v>23</v>
      </c>
      <c r="I27" t="s">
        <v>311</v>
      </c>
      <c r="J27" t="s">
        <v>23</v>
      </c>
      <c r="K27">
        <v>0</v>
      </c>
      <c r="L27">
        <v>0</v>
      </c>
      <c r="M27">
        <v>5</v>
      </c>
    </row>
    <row r="28" spans="1:13" x14ac:dyDescent="0.35">
      <c r="A28">
        <v>3524</v>
      </c>
      <c r="B28" t="s">
        <v>307</v>
      </c>
      <c r="C28" t="s">
        <v>26</v>
      </c>
      <c r="D28" s="15">
        <v>45641</v>
      </c>
      <c r="E28" t="s">
        <v>19</v>
      </c>
      <c r="F28">
        <v>10</v>
      </c>
      <c r="G28" t="s">
        <v>24</v>
      </c>
      <c r="H28" t="s">
        <v>23</v>
      </c>
      <c r="I28" t="s">
        <v>311</v>
      </c>
      <c r="J28" t="s">
        <v>19</v>
      </c>
      <c r="K28">
        <v>20</v>
      </c>
      <c r="L28">
        <v>15</v>
      </c>
      <c r="M28">
        <v>15</v>
      </c>
    </row>
    <row r="29" spans="1:13" x14ac:dyDescent="0.35">
      <c r="A29">
        <v>3512</v>
      </c>
      <c r="B29" t="s">
        <v>298</v>
      </c>
      <c r="C29" t="s">
        <v>26</v>
      </c>
      <c r="D29" s="15">
        <v>45629</v>
      </c>
      <c r="E29" t="s">
        <v>19</v>
      </c>
      <c r="F29">
        <v>10</v>
      </c>
      <c r="G29" t="s">
        <v>24</v>
      </c>
      <c r="H29" t="s">
        <v>23</v>
      </c>
      <c r="I29" t="s">
        <v>311</v>
      </c>
      <c r="J29" t="s">
        <v>19</v>
      </c>
      <c r="K29">
        <v>20</v>
      </c>
      <c r="L29">
        <v>15</v>
      </c>
      <c r="M29">
        <v>15</v>
      </c>
    </row>
    <row r="30" spans="1:13" x14ac:dyDescent="0.35">
      <c r="A30">
        <v>3500</v>
      </c>
      <c r="B30" t="s">
        <v>287</v>
      </c>
      <c r="C30" t="s">
        <v>26</v>
      </c>
      <c r="D30" s="15">
        <v>45617</v>
      </c>
      <c r="E30" t="s">
        <v>19</v>
      </c>
      <c r="F30">
        <v>10</v>
      </c>
      <c r="G30" t="s">
        <v>24</v>
      </c>
      <c r="H30" t="s">
        <v>23</v>
      </c>
      <c r="I30" t="s">
        <v>311</v>
      </c>
      <c r="J30" t="s">
        <v>19</v>
      </c>
      <c r="K30">
        <v>20</v>
      </c>
      <c r="L30">
        <v>15</v>
      </c>
      <c r="M30">
        <v>15</v>
      </c>
    </row>
    <row r="31" spans="1:13" x14ac:dyDescent="0.35">
      <c r="A31">
        <v>3488</v>
      </c>
      <c r="B31" t="s">
        <v>275</v>
      </c>
      <c r="C31" t="s">
        <v>26</v>
      </c>
      <c r="D31" s="15">
        <v>45605</v>
      </c>
      <c r="E31" t="s">
        <v>19</v>
      </c>
      <c r="F31">
        <v>10</v>
      </c>
      <c r="G31" t="s">
        <v>24</v>
      </c>
      <c r="H31" t="s">
        <v>23</v>
      </c>
      <c r="I31" t="s">
        <v>311</v>
      </c>
      <c r="J31" t="s">
        <v>19</v>
      </c>
      <c r="K31">
        <v>20</v>
      </c>
      <c r="L31">
        <v>10</v>
      </c>
      <c r="M31">
        <v>20</v>
      </c>
    </row>
    <row r="32" spans="1:13" x14ac:dyDescent="0.35">
      <c r="A32">
        <v>3246</v>
      </c>
      <c r="B32" t="s">
        <v>44</v>
      </c>
      <c r="C32" t="s">
        <v>26</v>
      </c>
      <c r="D32" s="15">
        <v>45363</v>
      </c>
      <c r="E32" t="s">
        <v>19</v>
      </c>
      <c r="F32">
        <v>10</v>
      </c>
      <c r="G32" t="s">
        <v>24</v>
      </c>
      <c r="H32" t="s">
        <v>23</v>
      </c>
      <c r="I32" t="s">
        <v>311</v>
      </c>
      <c r="J32" t="s">
        <v>19</v>
      </c>
      <c r="K32">
        <v>20</v>
      </c>
      <c r="L32">
        <v>12</v>
      </c>
      <c r="M32">
        <v>18</v>
      </c>
    </row>
    <row r="33" spans="1:13" x14ac:dyDescent="0.35">
      <c r="A33">
        <v>3474</v>
      </c>
      <c r="B33" t="s">
        <v>261</v>
      </c>
      <c r="C33" t="s">
        <v>26</v>
      </c>
      <c r="D33" s="15">
        <v>45591</v>
      </c>
      <c r="E33" t="s">
        <v>19</v>
      </c>
      <c r="F33">
        <v>10</v>
      </c>
      <c r="G33" t="s">
        <v>24</v>
      </c>
      <c r="H33" t="s">
        <v>23</v>
      </c>
      <c r="I33" t="s">
        <v>311</v>
      </c>
      <c r="J33" t="s">
        <v>19</v>
      </c>
      <c r="K33">
        <v>20</v>
      </c>
      <c r="L33">
        <v>15</v>
      </c>
      <c r="M33">
        <v>15</v>
      </c>
    </row>
    <row r="34" spans="1:13" x14ac:dyDescent="0.35">
      <c r="A34">
        <v>3462</v>
      </c>
      <c r="B34" t="s">
        <v>250</v>
      </c>
      <c r="C34" t="s">
        <v>26</v>
      </c>
      <c r="D34" s="15">
        <v>45579</v>
      </c>
      <c r="E34" t="s">
        <v>19</v>
      </c>
      <c r="F34">
        <v>10</v>
      </c>
      <c r="G34" t="s">
        <v>24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 x14ac:dyDescent="0.35">
      <c r="A35">
        <v>3450</v>
      </c>
      <c r="B35" t="s">
        <v>241</v>
      </c>
      <c r="C35" t="s">
        <v>26</v>
      </c>
      <c r="D35" s="15">
        <v>45567</v>
      </c>
      <c r="E35" t="s">
        <v>19</v>
      </c>
      <c r="F35">
        <v>10</v>
      </c>
      <c r="G35" t="s">
        <v>24</v>
      </c>
      <c r="H35" t="s">
        <v>23</v>
      </c>
      <c r="I35" t="s">
        <v>311</v>
      </c>
      <c r="J35" t="s">
        <v>19</v>
      </c>
      <c r="K35">
        <v>20</v>
      </c>
      <c r="L35">
        <v>15</v>
      </c>
      <c r="M35">
        <v>15</v>
      </c>
    </row>
    <row r="36" spans="1:13" x14ac:dyDescent="0.35">
      <c r="A36">
        <v>3258</v>
      </c>
      <c r="B36" t="s">
        <v>56</v>
      </c>
      <c r="C36" t="s">
        <v>26</v>
      </c>
      <c r="D36" s="15">
        <v>45375</v>
      </c>
      <c r="E36" t="s">
        <v>19</v>
      </c>
      <c r="F36">
        <v>10</v>
      </c>
      <c r="G36" t="s">
        <v>24</v>
      </c>
      <c r="H36" t="s">
        <v>23</v>
      </c>
      <c r="I36" t="s">
        <v>311</v>
      </c>
      <c r="J36" t="s">
        <v>19</v>
      </c>
      <c r="K36">
        <v>20</v>
      </c>
      <c r="L36">
        <v>15</v>
      </c>
      <c r="M36">
        <v>15</v>
      </c>
    </row>
    <row r="37" spans="1:13" x14ac:dyDescent="0.35">
      <c r="A37">
        <v>3438</v>
      </c>
      <c r="B37" t="s">
        <v>230</v>
      </c>
      <c r="C37" t="s">
        <v>26</v>
      </c>
      <c r="D37" s="15">
        <v>45555</v>
      </c>
      <c r="E37" t="s">
        <v>19</v>
      </c>
      <c r="F37">
        <v>10</v>
      </c>
      <c r="G37" t="s">
        <v>24</v>
      </c>
      <c r="H37" t="s">
        <v>23</v>
      </c>
      <c r="I37" t="s">
        <v>311</v>
      </c>
      <c r="J37" t="s">
        <v>19</v>
      </c>
      <c r="K37">
        <v>20</v>
      </c>
      <c r="L37">
        <v>10</v>
      </c>
      <c r="M37">
        <v>20</v>
      </c>
    </row>
    <row r="38" spans="1:13" x14ac:dyDescent="0.35">
      <c r="A38">
        <v>3432</v>
      </c>
      <c r="B38" t="s">
        <v>224</v>
      </c>
      <c r="C38" t="s">
        <v>26</v>
      </c>
      <c r="D38" s="15">
        <v>45549</v>
      </c>
      <c r="E38" t="s">
        <v>19</v>
      </c>
      <c r="F38">
        <v>10</v>
      </c>
      <c r="G38" t="s">
        <v>24</v>
      </c>
      <c r="H38" t="s">
        <v>23</v>
      </c>
      <c r="I38" t="s">
        <v>311</v>
      </c>
      <c r="J38" t="s">
        <v>19</v>
      </c>
      <c r="K38">
        <v>20</v>
      </c>
      <c r="L38">
        <v>15</v>
      </c>
      <c r="M38">
        <v>15</v>
      </c>
    </row>
    <row r="39" spans="1:13" x14ac:dyDescent="0.35">
      <c r="A39">
        <v>3420</v>
      </c>
      <c r="B39" t="s">
        <v>215</v>
      </c>
      <c r="C39" t="s">
        <v>26</v>
      </c>
      <c r="D39" s="15">
        <v>45537</v>
      </c>
      <c r="E39" t="s">
        <v>19</v>
      </c>
      <c r="F39">
        <v>10</v>
      </c>
      <c r="G39" t="s">
        <v>24</v>
      </c>
      <c r="H39" t="s">
        <v>23</v>
      </c>
      <c r="I39" t="s">
        <v>311</v>
      </c>
      <c r="J39" t="s">
        <v>19</v>
      </c>
      <c r="K39">
        <v>20</v>
      </c>
      <c r="L39">
        <v>15</v>
      </c>
      <c r="M39">
        <v>15</v>
      </c>
    </row>
    <row r="40" spans="1:13" x14ac:dyDescent="0.35">
      <c r="A40">
        <v>3408</v>
      </c>
      <c r="B40" t="s">
        <v>203</v>
      </c>
      <c r="C40" t="s">
        <v>26</v>
      </c>
      <c r="D40" s="15">
        <v>45525</v>
      </c>
      <c r="E40" t="s">
        <v>19</v>
      </c>
      <c r="F40">
        <v>10</v>
      </c>
      <c r="G40" t="s">
        <v>24</v>
      </c>
      <c r="H40" t="s">
        <v>23</v>
      </c>
      <c r="I40" t="s">
        <v>311</v>
      </c>
      <c r="J40" t="s">
        <v>19</v>
      </c>
      <c r="K40">
        <v>20</v>
      </c>
      <c r="L40">
        <v>10</v>
      </c>
      <c r="M40">
        <v>20</v>
      </c>
    </row>
    <row r="41" spans="1:13" x14ac:dyDescent="0.35">
      <c r="A41">
        <v>3268</v>
      </c>
      <c r="B41" t="s">
        <v>66</v>
      </c>
      <c r="C41" t="s">
        <v>26</v>
      </c>
      <c r="D41" s="15">
        <v>45385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10</v>
      </c>
      <c r="M41">
        <v>20</v>
      </c>
    </row>
    <row r="42" spans="1:13" x14ac:dyDescent="0.35">
      <c r="A42">
        <v>3404</v>
      </c>
      <c r="B42" t="s">
        <v>199</v>
      </c>
      <c r="C42" t="s">
        <v>26</v>
      </c>
      <c r="D42" s="15">
        <v>45521</v>
      </c>
      <c r="E42" t="s">
        <v>19</v>
      </c>
      <c r="F42">
        <v>10</v>
      </c>
      <c r="G42" t="s">
        <v>24</v>
      </c>
      <c r="H42" t="s">
        <v>23</v>
      </c>
      <c r="I42" t="s">
        <v>311</v>
      </c>
      <c r="J42" t="s">
        <v>19</v>
      </c>
      <c r="K42">
        <v>20</v>
      </c>
      <c r="L42">
        <v>15</v>
      </c>
      <c r="M42">
        <v>15</v>
      </c>
    </row>
    <row r="43" spans="1:13" x14ac:dyDescent="0.35">
      <c r="A43">
        <v>3392</v>
      </c>
      <c r="B43" t="s">
        <v>188</v>
      </c>
      <c r="C43" t="s">
        <v>26</v>
      </c>
      <c r="D43" s="15">
        <v>45509</v>
      </c>
      <c r="E43" t="s">
        <v>19</v>
      </c>
      <c r="F43">
        <v>10</v>
      </c>
      <c r="G43" t="s">
        <v>24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 x14ac:dyDescent="0.35">
      <c r="A44">
        <v>3380</v>
      </c>
      <c r="B44" t="s">
        <v>177</v>
      </c>
      <c r="C44" t="s">
        <v>26</v>
      </c>
      <c r="D44" s="15">
        <v>45497</v>
      </c>
      <c r="E44" t="s">
        <v>19</v>
      </c>
      <c r="F44">
        <v>10</v>
      </c>
      <c r="G44" t="s">
        <v>24</v>
      </c>
      <c r="H44" t="s">
        <v>23</v>
      </c>
      <c r="I44" t="s">
        <v>311</v>
      </c>
      <c r="J44" t="s">
        <v>19</v>
      </c>
      <c r="K44">
        <v>20</v>
      </c>
      <c r="L44">
        <v>15</v>
      </c>
      <c r="M44">
        <v>15</v>
      </c>
    </row>
    <row r="45" spans="1:13" x14ac:dyDescent="0.35">
      <c r="A45">
        <v>3280</v>
      </c>
      <c r="B45" t="s">
        <v>78</v>
      </c>
      <c r="C45" t="s">
        <v>26</v>
      </c>
      <c r="D45" s="15">
        <v>45397</v>
      </c>
      <c r="E45" t="s">
        <v>19</v>
      </c>
      <c r="F45">
        <v>10</v>
      </c>
      <c r="G45" t="s">
        <v>24</v>
      </c>
      <c r="H45" t="s">
        <v>23</v>
      </c>
      <c r="I45" t="s">
        <v>311</v>
      </c>
      <c r="J45" t="s">
        <v>19</v>
      </c>
      <c r="K45">
        <v>20</v>
      </c>
      <c r="L45">
        <v>15</v>
      </c>
      <c r="M45">
        <v>15</v>
      </c>
    </row>
    <row r="46" spans="1:13" x14ac:dyDescent="0.35">
      <c r="A46">
        <v>3368</v>
      </c>
      <c r="B46" t="s">
        <v>165</v>
      </c>
      <c r="C46" t="s">
        <v>26</v>
      </c>
      <c r="D46" s="15">
        <v>45485</v>
      </c>
      <c r="E46" t="s">
        <v>19</v>
      </c>
      <c r="F46">
        <v>10</v>
      </c>
      <c r="G46" t="s">
        <v>24</v>
      </c>
      <c r="H46" t="s">
        <v>23</v>
      </c>
      <c r="I46" t="s">
        <v>311</v>
      </c>
      <c r="J46" t="s">
        <v>19</v>
      </c>
      <c r="K46">
        <v>20</v>
      </c>
      <c r="L46">
        <v>10</v>
      </c>
      <c r="M46">
        <v>20</v>
      </c>
    </row>
    <row r="47" spans="1:13" x14ac:dyDescent="0.35">
      <c r="A47">
        <v>3362</v>
      </c>
      <c r="B47" t="s">
        <v>159</v>
      </c>
      <c r="C47" t="s">
        <v>26</v>
      </c>
      <c r="D47" s="15">
        <v>45479</v>
      </c>
      <c r="E47" t="s">
        <v>19</v>
      </c>
      <c r="F47">
        <v>10</v>
      </c>
      <c r="G47" t="s">
        <v>24</v>
      </c>
      <c r="H47" t="s">
        <v>23</v>
      </c>
      <c r="I47" t="s">
        <v>311</v>
      </c>
      <c r="J47" t="s">
        <v>19</v>
      </c>
      <c r="K47">
        <v>20</v>
      </c>
      <c r="L47">
        <v>15</v>
      </c>
      <c r="M47">
        <v>15</v>
      </c>
    </row>
    <row r="48" spans="1:13" x14ac:dyDescent="0.35">
      <c r="A48">
        <v>3350</v>
      </c>
      <c r="B48" t="s">
        <v>147</v>
      </c>
      <c r="C48" t="s">
        <v>26</v>
      </c>
      <c r="D48" s="15">
        <v>45467</v>
      </c>
      <c r="E48" t="s">
        <v>19</v>
      </c>
      <c r="F48">
        <v>10</v>
      </c>
      <c r="G48" t="s">
        <v>24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 x14ac:dyDescent="0.35">
      <c r="A49">
        <v>3338</v>
      </c>
      <c r="B49" t="s">
        <v>136</v>
      </c>
      <c r="C49" t="s">
        <v>26</v>
      </c>
      <c r="D49" s="15">
        <v>45455</v>
      </c>
      <c r="E49" t="s">
        <v>19</v>
      </c>
      <c r="F49">
        <v>10</v>
      </c>
      <c r="G49" t="s">
        <v>24</v>
      </c>
      <c r="H49" t="s">
        <v>23</v>
      </c>
      <c r="I49" t="s">
        <v>311</v>
      </c>
      <c r="J49" t="s">
        <v>19</v>
      </c>
      <c r="K49">
        <v>20</v>
      </c>
      <c r="L49">
        <v>10</v>
      </c>
      <c r="M49">
        <v>20</v>
      </c>
    </row>
    <row r="50" spans="1:13" x14ac:dyDescent="0.35">
      <c r="A50">
        <v>3292</v>
      </c>
      <c r="B50" t="s">
        <v>90</v>
      </c>
      <c r="C50" t="s">
        <v>26</v>
      </c>
      <c r="D50" s="15">
        <v>45409</v>
      </c>
      <c r="E50" t="s">
        <v>19</v>
      </c>
      <c r="F50">
        <v>10</v>
      </c>
      <c r="G50" t="s">
        <v>24</v>
      </c>
      <c r="H50" t="s">
        <v>23</v>
      </c>
      <c r="I50" t="s">
        <v>311</v>
      </c>
      <c r="J50" t="s">
        <v>19</v>
      </c>
      <c r="K50">
        <v>20</v>
      </c>
      <c r="L50">
        <v>15</v>
      </c>
      <c r="M50">
        <v>15</v>
      </c>
    </row>
    <row r="51" spans="1:13" x14ac:dyDescent="0.35">
      <c r="A51">
        <v>3328</v>
      </c>
      <c r="B51" t="s">
        <v>126</v>
      </c>
      <c r="C51" t="s">
        <v>26</v>
      </c>
      <c r="D51" s="15">
        <v>45445</v>
      </c>
      <c r="E51" t="s">
        <v>23</v>
      </c>
      <c r="F51">
        <v>10</v>
      </c>
      <c r="G51" t="s">
        <v>24</v>
      </c>
      <c r="H51" t="s">
        <v>23</v>
      </c>
      <c r="I51" t="s">
        <v>311</v>
      </c>
      <c r="J51" t="s">
        <v>19</v>
      </c>
      <c r="K51">
        <v>20</v>
      </c>
      <c r="L51">
        <v>10</v>
      </c>
      <c r="M51">
        <v>20</v>
      </c>
    </row>
    <row r="52" spans="1:13" x14ac:dyDescent="0.35">
      <c r="A52">
        <v>3322</v>
      </c>
      <c r="B52" t="s">
        <v>120</v>
      </c>
      <c r="C52" t="s">
        <v>26</v>
      </c>
      <c r="D52" s="15">
        <v>45439</v>
      </c>
      <c r="E52" t="s">
        <v>23</v>
      </c>
      <c r="F52">
        <v>10</v>
      </c>
      <c r="G52" t="s">
        <v>24</v>
      </c>
      <c r="H52" t="s">
        <v>23</v>
      </c>
      <c r="I52" t="s">
        <v>311</v>
      </c>
      <c r="J52" t="s">
        <v>19</v>
      </c>
      <c r="K52">
        <v>20</v>
      </c>
      <c r="L52">
        <v>15</v>
      </c>
      <c r="M52">
        <v>15</v>
      </c>
    </row>
    <row r="53" spans="1:13" x14ac:dyDescent="0.35">
      <c r="A53">
        <v>3298</v>
      </c>
      <c r="B53" t="s">
        <v>96</v>
      </c>
      <c r="C53" t="s">
        <v>26</v>
      </c>
      <c r="D53" s="15">
        <v>45415</v>
      </c>
      <c r="E53" t="s">
        <v>23</v>
      </c>
      <c r="F53">
        <v>10</v>
      </c>
      <c r="G53" t="s">
        <v>24</v>
      </c>
      <c r="H53" t="s">
        <v>23</v>
      </c>
      <c r="I53" t="s">
        <v>311</v>
      </c>
      <c r="J53" t="s">
        <v>19</v>
      </c>
      <c r="K53">
        <v>20</v>
      </c>
      <c r="L53">
        <v>10</v>
      </c>
      <c r="M53">
        <v>20</v>
      </c>
    </row>
    <row r="54" spans="1:13" x14ac:dyDescent="0.35">
      <c r="A54">
        <v>3310</v>
      </c>
      <c r="B54" t="s">
        <v>108</v>
      </c>
      <c r="C54" t="s">
        <v>26</v>
      </c>
      <c r="D54" s="15">
        <v>45427</v>
      </c>
      <c r="E54" t="s">
        <v>23</v>
      </c>
      <c r="F54">
        <v>10</v>
      </c>
      <c r="G54" t="s">
        <v>24</v>
      </c>
      <c r="H54" t="s">
        <v>23</v>
      </c>
      <c r="I54" t="s">
        <v>311</v>
      </c>
      <c r="J54" t="s">
        <v>19</v>
      </c>
      <c r="K54">
        <v>20</v>
      </c>
      <c r="L54">
        <v>15</v>
      </c>
      <c r="M54">
        <v>15</v>
      </c>
    </row>
    <row r="55" spans="1:13" x14ac:dyDescent="0.35">
      <c r="A55">
        <v>3520</v>
      </c>
      <c r="B55" t="s">
        <v>303</v>
      </c>
      <c r="C55" t="s">
        <v>18</v>
      </c>
      <c r="D55" s="15">
        <v>45637</v>
      </c>
      <c r="E55" t="s">
        <v>19</v>
      </c>
      <c r="F55">
        <v>15</v>
      </c>
      <c r="G55" t="s">
        <v>24</v>
      </c>
      <c r="H55" t="s">
        <v>19</v>
      </c>
      <c r="I55">
        <v>30</v>
      </c>
      <c r="J55" t="s">
        <v>19</v>
      </c>
      <c r="K55">
        <v>20</v>
      </c>
      <c r="L55">
        <v>5</v>
      </c>
      <c r="M55">
        <v>60</v>
      </c>
    </row>
    <row r="56" spans="1:13" x14ac:dyDescent="0.35">
      <c r="A56">
        <v>3508</v>
      </c>
      <c r="B56" t="s">
        <v>294</v>
      </c>
      <c r="C56" t="s">
        <v>18</v>
      </c>
      <c r="D56" s="15">
        <v>45625</v>
      </c>
      <c r="E56" t="s">
        <v>19</v>
      </c>
      <c r="F56">
        <v>15</v>
      </c>
      <c r="G56" t="s">
        <v>24</v>
      </c>
      <c r="H56" t="s">
        <v>19</v>
      </c>
      <c r="I56">
        <v>30</v>
      </c>
      <c r="J56" t="s">
        <v>19</v>
      </c>
      <c r="K56">
        <v>20</v>
      </c>
      <c r="L56">
        <v>3</v>
      </c>
      <c r="M56">
        <v>62</v>
      </c>
    </row>
    <row r="57" spans="1:13" x14ac:dyDescent="0.35">
      <c r="A57">
        <v>3496</v>
      </c>
      <c r="B57" t="s">
        <v>283</v>
      </c>
      <c r="C57" t="s">
        <v>18</v>
      </c>
      <c r="D57" s="15">
        <v>45613</v>
      </c>
      <c r="E57" t="s">
        <v>19</v>
      </c>
      <c r="F57">
        <v>15</v>
      </c>
      <c r="G57" t="s">
        <v>24</v>
      </c>
      <c r="H57" t="s">
        <v>19</v>
      </c>
      <c r="I57">
        <v>30</v>
      </c>
      <c r="J57" t="s">
        <v>19</v>
      </c>
      <c r="K57">
        <v>20</v>
      </c>
      <c r="L57">
        <v>5</v>
      </c>
      <c r="M57">
        <v>60</v>
      </c>
    </row>
    <row r="58" spans="1:13" x14ac:dyDescent="0.35">
      <c r="A58">
        <v>3242</v>
      </c>
      <c r="B58" t="s">
        <v>40</v>
      </c>
      <c r="C58" t="s">
        <v>18</v>
      </c>
      <c r="D58" s="15">
        <v>45359</v>
      </c>
      <c r="E58" t="s">
        <v>19</v>
      </c>
      <c r="F58">
        <v>15</v>
      </c>
      <c r="G58" t="s">
        <v>24</v>
      </c>
      <c r="H58" t="s">
        <v>19</v>
      </c>
      <c r="I58">
        <v>30</v>
      </c>
      <c r="J58" t="s">
        <v>19</v>
      </c>
      <c r="K58">
        <v>20</v>
      </c>
      <c r="L58">
        <v>20</v>
      </c>
      <c r="M58">
        <v>45</v>
      </c>
    </row>
    <row r="59" spans="1:13" x14ac:dyDescent="0.35">
      <c r="A59">
        <v>3482</v>
      </c>
      <c r="B59" t="s">
        <v>269</v>
      </c>
      <c r="C59" t="s">
        <v>18</v>
      </c>
      <c r="D59" s="15">
        <v>45599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3</v>
      </c>
      <c r="M59">
        <v>62</v>
      </c>
    </row>
    <row r="60" spans="1:13" x14ac:dyDescent="0.35">
      <c r="A60">
        <v>3470</v>
      </c>
      <c r="B60" t="s">
        <v>258</v>
      </c>
      <c r="C60" t="s">
        <v>18</v>
      </c>
      <c r="D60" s="15">
        <v>45587</v>
      </c>
      <c r="E60" t="s">
        <v>19</v>
      </c>
      <c r="F60">
        <v>15</v>
      </c>
      <c r="G60" t="s">
        <v>24</v>
      </c>
      <c r="H60" t="s">
        <v>19</v>
      </c>
      <c r="I60">
        <v>30</v>
      </c>
      <c r="J60" t="s">
        <v>19</v>
      </c>
      <c r="K60">
        <v>20</v>
      </c>
      <c r="L60">
        <v>5</v>
      </c>
      <c r="M60">
        <v>60</v>
      </c>
    </row>
    <row r="61" spans="1:13" x14ac:dyDescent="0.35">
      <c r="A61">
        <v>3458</v>
      </c>
      <c r="B61" t="s">
        <v>247</v>
      </c>
      <c r="C61" t="s">
        <v>18</v>
      </c>
      <c r="D61" s="15">
        <v>45575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3</v>
      </c>
      <c r="M61">
        <v>62</v>
      </c>
    </row>
    <row r="62" spans="1:13" x14ac:dyDescent="0.35">
      <c r="A62">
        <v>3254</v>
      </c>
      <c r="B62" t="s">
        <v>52</v>
      </c>
      <c r="C62" t="s">
        <v>18</v>
      </c>
      <c r="D62" s="15">
        <v>45371</v>
      </c>
      <c r="E62" t="s">
        <v>19</v>
      </c>
      <c r="F62">
        <v>15</v>
      </c>
      <c r="G62" t="s">
        <v>24</v>
      </c>
      <c r="H62" t="s">
        <v>19</v>
      </c>
      <c r="I62">
        <v>30</v>
      </c>
      <c r="J62" t="s">
        <v>19</v>
      </c>
      <c r="K62">
        <v>20</v>
      </c>
      <c r="L62">
        <v>20</v>
      </c>
      <c r="M62">
        <v>45</v>
      </c>
    </row>
    <row r="63" spans="1:13" x14ac:dyDescent="0.35">
      <c r="A63">
        <v>3446</v>
      </c>
      <c r="B63" t="s">
        <v>237</v>
      </c>
      <c r="C63" t="s">
        <v>18</v>
      </c>
      <c r="D63" s="15">
        <v>45563</v>
      </c>
      <c r="E63" t="s">
        <v>19</v>
      </c>
      <c r="F63">
        <v>15</v>
      </c>
      <c r="G63" t="s">
        <v>24</v>
      </c>
      <c r="H63" t="s">
        <v>19</v>
      </c>
      <c r="I63">
        <v>30</v>
      </c>
      <c r="J63" t="s">
        <v>19</v>
      </c>
      <c r="K63">
        <v>20</v>
      </c>
      <c r="L63">
        <v>5</v>
      </c>
      <c r="M63">
        <v>60</v>
      </c>
    </row>
    <row r="64" spans="1:13" x14ac:dyDescent="0.35">
      <c r="A64">
        <v>3428</v>
      </c>
      <c r="B64" t="s">
        <v>220</v>
      </c>
      <c r="C64" t="s">
        <v>18</v>
      </c>
      <c r="D64" s="15">
        <v>45545</v>
      </c>
      <c r="E64" t="s">
        <v>19</v>
      </c>
      <c r="F64">
        <v>15</v>
      </c>
      <c r="G64" t="s">
        <v>24</v>
      </c>
      <c r="H64" t="s">
        <v>19</v>
      </c>
      <c r="I64">
        <v>30</v>
      </c>
      <c r="J64" t="s">
        <v>19</v>
      </c>
      <c r="K64">
        <v>20</v>
      </c>
      <c r="L64">
        <v>3</v>
      </c>
      <c r="M64">
        <v>62</v>
      </c>
    </row>
    <row r="65" spans="1:13" x14ac:dyDescent="0.35">
      <c r="A65">
        <v>3416</v>
      </c>
      <c r="B65" t="s">
        <v>211</v>
      </c>
      <c r="C65" t="s">
        <v>18</v>
      </c>
      <c r="D65" s="15">
        <v>45533</v>
      </c>
      <c r="E65" t="s">
        <v>19</v>
      </c>
      <c r="F65">
        <v>15</v>
      </c>
      <c r="G65" t="s">
        <v>24</v>
      </c>
      <c r="H65" t="s">
        <v>19</v>
      </c>
      <c r="I65">
        <v>30</v>
      </c>
      <c r="J65" t="s">
        <v>19</v>
      </c>
      <c r="K65">
        <v>20</v>
      </c>
      <c r="L65">
        <v>5</v>
      </c>
      <c r="M65">
        <v>60</v>
      </c>
    </row>
    <row r="66" spans="1:13" x14ac:dyDescent="0.35">
      <c r="A66">
        <v>3400</v>
      </c>
      <c r="B66" t="s">
        <v>195</v>
      </c>
      <c r="C66" t="s">
        <v>18</v>
      </c>
      <c r="D66" s="15">
        <v>45517</v>
      </c>
      <c r="E66" t="s">
        <v>19</v>
      </c>
      <c r="F66">
        <v>15</v>
      </c>
      <c r="G66" t="s">
        <v>24</v>
      </c>
      <c r="H66" t="s">
        <v>19</v>
      </c>
      <c r="I66">
        <v>30</v>
      </c>
      <c r="J66" t="s">
        <v>19</v>
      </c>
      <c r="K66">
        <v>20</v>
      </c>
      <c r="L66">
        <v>5</v>
      </c>
      <c r="M66">
        <v>60</v>
      </c>
    </row>
    <row r="67" spans="1:13" x14ac:dyDescent="0.35">
      <c r="A67">
        <v>3388</v>
      </c>
      <c r="B67" t="s">
        <v>185</v>
      </c>
      <c r="C67" t="s">
        <v>18</v>
      </c>
      <c r="D67" s="15">
        <v>45505</v>
      </c>
      <c r="E67" t="s">
        <v>19</v>
      </c>
      <c r="F67">
        <v>15</v>
      </c>
      <c r="G67" t="s">
        <v>24</v>
      </c>
      <c r="H67" t="s">
        <v>19</v>
      </c>
      <c r="I67">
        <v>30</v>
      </c>
      <c r="J67" t="s">
        <v>19</v>
      </c>
      <c r="K67">
        <v>20</v>
      </c>
      <c r="L67">
        <v>3</v>
      </c>
      <c r="M67">
        <v>62</v>
      </c>
    </row>
    <row r="68" spans="1:13" x14ac:dyDescent="0.35">
      <c r="A68">
        <v>3276</v>
      </c>
      <c r="B68" t="s">
        <v>74</v>
      </c>
      <c r="C68" t="s">
        <v>18</v>
      </c>
      <c r="D68" s="15">
        <v>45393</v>
      </c>
      <c r="E68" t="s">
        <v>19</v>
      </c>
      <c r="F68">
        <v>15</v>
      </c>
      <c r="G68" t="s">
        <v>24</v>
      </c>
      <c r="H68" t="s">
        <v>19</v>
      </c>
      <c r="I68">
        <v>30</v>
      </c>
      <c r="J68" t="s">
        <v>19</v>
      </c>
      <c r="K68">
        <v>20</v>
      </c>
      <c r="L68">
        <v>5</v>
      </c>
      <c r="M68">
        <v>60</v>
      </c>
    </row>
    <row r="69" spans="1:13" x14ac:dyDescent="0.35">
      <c r="A69">
        <v>3376</v>
      </c>
      <c r="B69" t="s">
        <v>173</v>
      </c>
      <c r="C69" t="s">
        <v>18</v>
      </c>
      <c r="D69" s="15">
        <v>45493</v>
      </c>
      <c r="E69" t="s">
        <v>19</v>
      </c>
      <c r="F69">
        <v>15</v>
      </c>
      <c r="G69" t="s">
        <v>24</v>
      </c>
      <c r="H69" t="s">
        <v>19</v>
      </c>
      <c r="I69">
        <v>30</v>
      </c>
      <c r="J69" t="s">
        <v>19</v>
      </c>
      <c r="K69">
        <v>20</v>
      </c>
      <c r="L69">
        <v>5</v>
      </c>
      <c r="M69">
        <v>60</v>
      </c>
    </row>
    <row r="70" spans="1:13" x14ac:dyDescent="0.35">
      <c r="A70">
        <v>3358</v>
      </c>
      <c r="B70" t="s">
        <v>155</v>
      </c>
      <c r="C70" t="s">
        <v>18</v>
      </c>
      <c r="D70" s="15">
        <v>45475</v>
      </c>
      <c r="E70" t="s">
        <v>19</v>
      </c>
      <c r="F70">
        <v>15</v>
      </c>
      <c r="G70" t="s">
        <v>24</v>
      </c>
      <c r="H70" t="s">
        <v>19</v>
      </c>
      <c r="I70">
        <v>30</v>
      </c>
      <c r="J70" t="s">
        <v>19</v>
      </c>
      <c r="K70">
        <v>20</v>
      </c>
      <c r="L70">
        <v>3</v>
      </c>
      <c r="M70">
        <v>62</v>
      </c>
    </row>
    <row r="71" spans="1:13" x14ac:dyDescent="0.35">
      <c r="A71">
        <v>3346</v>
      </c>
      <c r="B71" t="s">
        <v>144</v>
      </c>
      <c r="C71" t="s">
        <v>18</v>
      </c>
      <c r="D71" s="15">
        <v>45463</v>
      </c>
      <c r="E71" t="s">
        <v>19</v>
      </c>
      <c r="F71">
        <v>15</v>
      </c>
      <c r="G71" t="s">
        <v>24</v>
      </c>
      <c r="H71" t="s">
        <v>19</v>
      </c>
      <c r="I71">
        <v>30</v>
      </c>
      <c r="J71" t="s">
        <v>19</v>
      </c>
      <c r="K71">
        <v>20</v>
      </c>
      <c r="L71">
        <v>5</v>
      </c>
      <c r="M71">
        <v>60</v>
      </c>
    </row>
    <row r="72" spans="1:13" x14ac:dyDescent="0.35">
      <c r="A72">
        <v>3288</v>
      </c>
      <c r="B72" t="s">
        <v>86</v>
      </c>
      <c r="C72" t="s">
        <v>18</v>
      </c>
      <c r="D72" s="15">
        <v>45405</v>
      </c>
      <c r="E72" t="s">
        <v>19</v>
      </c>
      <c r="F72">
        <v>15</v>
      </c>
      <c r="G72" t="s">
        <v>24</v>
      </c>
      <c r="H72" t="s">
        <v>19</v>
      </c>
      <c r="I72">
        <v>30</v>
      </c>
      <c r="J72" t="s">
        <v>19</v>
      </c>
      <c r="K72">
        <v>20</v>
      </c>
      <c r="L72">
        <v>3</v>
      </c>
      <c r="M72">
        <v>62</v>
      </c>
    </row>
    <row r="73" spans="1:13" x14ac:dyDescent="0.35">
      <c r="A73">
        <v>3318</v>
      </c>
      <c r="B73" t="s">
        <v>116</v>
      </c>
      <c r="C73" t="s">
        <v>18</v>
      </c>
      <c r="D73" s="15">
        <v>45435</v>
      </c>
      <c r="E73" t="s">
        <v>23</v>
      </c>
      <c r="F73">
        <v>15</v>
      </c>
      <c r="G73" t="s">
        <v>24</v>
      </c>
      <c r="H73" t="s">
        <v>19</v>
      </c>
      <c r="I73">
        <v>30</v>
      </c>
      <c r="J73" t="s">
        <v>19</v>
      </c>
      <c r="K73">
        <v>20</v>
      </c>
      <c r="L73">
        <v>3</v>
      </c>
      <c r="M73">
        <v>62</v>
      </c>
    </row>
    <row r="74" spans="1:13" x14ac:dyDescent="0.35">
      <c r="A74">
        <v>3306</v>
      </c>
      <c r="B74" t="s">
        <v>104</v>
      </c>
      <c r="C74" t="s">
        <v>18</v>
      </c>
      <c r="D74" s="15">
        <v>45423</v>
      </c>
      <c r="E74" t="s">
        <v>23</v>
      </c>
      <c r="F74">
        <v>15</v>
      </c>
      <c r="G74" t="s">
        <v>24</v>
      </c>
      <c r="H74" t="s">
        <v>19</v>
      </c>
      <c r="I74">
        <v>30</v>
      </c>
      <c r="J74" t="s">
        <v>19</v>
      </c>
      <c r="K74">
        <v>20</v>
      </c>
      <c r="L74">
        <v>5</v>
      </c>
      <c r="M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7:E49"/>
  <sheetViews>
    <sheetView showGridLines="0" topLeftCell="A31" workbookViewId="0">
      <selection activeCell="X2" sqref="X2"/>
    </sheetView>
  </sheetViews>
  <sheetFormatPr defaultRowHeight="14.5" x14ac:dyDescent="0.35"/>
  <cols>
    <col min="2" max="2" width="17.7265625" bestFit="1" customWidth="1"/>
    <col min="3" max="3" width="18.36328125" bestFit="1" customWidth="1"/>
    <col min="4" max="4" width="21.81640625" bestFit="1" customWidth="1"/>
    <col min="5" max="6" width="11.726562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7" spans="2:3" x14ac:dyDescent="0.35">
      <c r="B7" s="12" t="s">
        <v>16</v>
      </c>
      <c r="C7" t="s">
        <v>27</v>
      </c>
    </row>
    <row r="9" spans="2:3" x14ac:dyDescent="0.35">
      <c r="B9" s="12" t="s">
        <v>313</v>
      </c>
      <c r="C9" t="s">
        <v>315</v>
      </c>
    </row>
    <row r="10" spans="2:3" x14ac:dyDescent="0.35">
      <c r="B10" s="13" t="s">
        <v>23</v>
      </c>
      <c r="C10" s="14">
        <v>806</v>
      </c>
    </row>
    <row r="11" spans="2:3" x14ac:dyDescent="0.35">
      <c r="B11" s="13" t="s">
        <v>19</v>
      </c>
      <c r="C11" s="14">
        <v>1502</v>
      </c>
    </row>
    <row r="12" spans="2:3" x14ac:dyDescent="0.35">
      <c r="B12" s="13" t="s">
        <v>314</v>
      </c>
      <c r="C12" s="14">
        <v>2308</v>
      </c>
    </row>
    <row r="15" spans="2:3" x14ac:dyDescent="0.35">
      <c r="B15" s="13" t="s">
        <v>318</v>
      </c>
    </row>
    <row r="17" spans="2:5" x14ac:dyDescent="0.35">
      <c r="B17" s="12" t="s">
        <v>16</v>
      </c>
      <c r="C17" t="s">
        <v>27</v>
      </c>
    </row>
    <row r="19" spans="2:5" x14ac:dyDescent="0.35">
      <c r="B19" s="12" t="s">
        <v>313</v>
      </c>
      <c r="C19" t="s">
        <v>319</v>
      </c>
    </row>
    <row r="20" spans="2:5" x14ac:dyDescent="0.35">
      <c r="B20" s="13" t="s">
        <v>22</v>
      </c>
      <c r="C20" s="22">
        <v>0</v>
      </c>
    </row>
    <row r="21" spans="2:5" x14ac:dyDescent="0.35">
      <c r="B21" s="13" t="s">
        <v>26</v>
      </c>
      <c r="C21" s="22">
        <v>0</v>
      </c>
    </row>
    <row r="22" spans="2:5" x14ac:dyDescent="0.35">
      <c r="B22" s="13" t="s">
        <v>18</v>
      </c>
      <c r="C22" s="22">
        <v>990</v>
      </c>
    </row>
    <row r="23" spans="2:5" x14ac:dyDescent="0.35">
      <c r="B23" s="13" t="s">
        <v>314</v>
      </c>
      <c r="C23" s="22">
        <v>990</v>
      </c>
      <c r="E23" s="20">
        <f>GETPIVOTDATA("EA Play Season Pass
Price",$B$19)</f>
        <v>990</v>
      </c>
    </row>
    <row r="26" spans="2:5" x14ac:dyDescent="0.35">
      <c r="B26" s="13" t="s">
        <v>321</v>
      </c>
    </row>
    <row r="27" spans="2:5" x14ac:dyDescent="0.35">
      <c r="B27" s="13"/>
    </row>
    <row r="28" spans="2:5" x14ac:dyDescent="0.35">
      <c r="B28" s="12" t="s">
        <v>16</v>
      </c>
      <c r="C28" t="s">
        <v>27</v>
      </c>
    </row>
    <row r="30" spans="2:5" x14ac:dyDescent="0.35">
      <c r="B30" s="12" t="s">
        <v>313</v>
      </c>
      <c r="C30" t="s">
        <v>322</v>
      </c>
    </row>
    <row r="31" spans="2:5" x14ac:dyDescent="0.35">
      <c r="B31" s="13" t="s">
        <v>22</v>
      </c>
      <c r="C31" s="14">
        <v>0</v>
      </c>
    </row>
    <row r="32" spans="2:5" x14ac:dyDescent="0.35">
      <c r="B32" s="13" t="s">
        <v>26</v>
      </c>
      <c r="C32" s="14">
        <v>480</v>
      </c>
    </row>
    <row r="33" spans="2:5" x14ac:dyDescent="0.35">
      <c r="B33" s="13" t="s">
        <v>18</v>
      </c>
      <c r="C33" s="14">
        <v>660</v>
      </c>
    </row>
    <row r="34" spans="2:5" x14ac:dyDescent="0.35">
      <c r="B34" s="13" t="s">
        <v>314</v>
      </c>
      <c r="C34" s="14">
        <v>1140</v>
      </c>
      <c r="E34" s="20">
        <f>GETPIVOTDATA("Minecraft Season Pass Price",$B$30)</f>
        <v>1140</v>
      </c>
    </row>
    <row r="35" spans="2:5" x14ac:dyDescent="0.35">
      <c r="B35" s="13"/>
      <c r="C35" s="14"/>
      <c r="E35" s="20"/>
    </row>
    <row r="41" spans="2:5" x14ac:dyDescent="0.35">
      <c r="B41" s="12" t="s">
        <v>13</v>
      </c>
      <c r="C41" t="s">
        <v>26</v>
      </c>
    </row>
    <row r="43" spans="2:5" x14ac:dyDescent="0.35">
      <c r="B43" s="12" t="s">
        <v>313</v>
      </c>
      <c r="C43" t="s">
        <v>315</v>
      </c>
    </row>
    <row r="44" spans="2:5" x14ac:dyDescent="0.35">
      <c r="B44" s="21">
        <v>15</v>
      </c>
      <c r="C44" s="14">
        <v>465</v>
      </c>
    </row>
    <row r="45" spans="2:5" x14ac:dyDescent="0.35">
      <c r="B45" s="21">
        <v>18</v>
      </c>
      <c r="C45" s="14">
        <v>198</v>
      </c>
    </row>
    <row r="46" spans="2:5" x14ac:dyDescent="0.35">
      <c r="B46" s="21">
        <v>20</v>
      </c>
      <c r="C46" s="14">
        <v>860</v>
      </c>
    </row>
    <row r="47" spans="2:5" x14ac:dyDescent="0.35">
      <c r="B47" s="21">
        <v>25</v>
      </c>
      <c r="C47" s="14">
        <v>250</v>
      </c>
      <c r="E47" s="20">
        <f>GETPIVOTDATA("Total Value",$B$43)</f>
        <v>1801</v>
      </c>
    </row>
    <row r="48" spans="2:5" x14ac:dyDescent="0.35">
      <c r="B48" s="21">
        <v>28</v>
      </c>
      <c r="C48" s="14">
        <v>28</v>
      </c>
    </row>
    <row r="49" spans="2:3" x14ac:dyDescent="0.35">
      <c r="B49" s="21" t="s">
        <v>314</v>
      </c>
      <c r="C49" s="14">
        <v>1801</v>
      </c>
    </row>
  </sheetData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57"/>
  <sheetViews>
    <sheetView showGridLines="0" showRowColHeaders="0" zoomScale="80" zoomScaleNormal="80" workbookViewId="0">
      <selection activeCell="AF32" sqref="AF32"/>
    </sheetView>
  </sheetViews>
  <sheetFormatPr defaultRowHeight="14.5" x14ac:dyDescent="0.35"/>
  <cols>
    <col min="1" max="1" width="25.90625" style="5" customWidth="1"/>
    <col min="2" max="2" width="3.54296875" customWidth="1"/>
    <col min="12" max="12" width="6.54296875" customWidth="1"/>
  </cols>
  <sheetData>
    <row r="1" spans="1:19" ht="13" customHeight="1" x14ac:dyDescent="0.35"/>
    <row r="2" spans="1:19" ht="39" customHeight="1" thickBot="1" x14ac:dyDescent="0.65">
      <c r="C2" s="19" t="s">
        <v>317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8"/>
    </row>
    <row r="3" spans="1:19" ht="27" customHeight="1" thickTop="1" x14ac:dyDescent="0.35"/>
    <row r="4" spans="1:19" s="7" customFormat="1" ht="8.25" customHeight="1" x14ac:dyDescent="0.35">
      <c r="A4" s="5"/>
    </row>
    <row r="5" spans="1:19" s="7" customFormat="1" ht="7.5" customHeight="1" x14ac:dyDescent="0.35">
      <c r="A5" s="5"/>
    </row>
    <row r="6" spans="1:19" s="7" customFormat="1" ht="10.5" customHeight="1" x14ac:dyDescent="0.35">
      <c r="A6" s="5"/>
    </row>
    <row r="7" spans="1:19" s="7" customFormat="1" ht="9.75" customHeight="1" x14ac:dyDescent="0.35">
      <c r="A7" s="5"/>
    </row>
    <row r="8" spans="1:19" s="7" customFormat="1" ht="33" customHeight="1" x14ac:dyDescent="0.35">
      <c r="A8" s="5"/>
    </row>
    <row r="9" spans="1:19" s="7" customFormat="1" x14ac:dyDescent="0.35">
      <c r="A9" s="5"/>
    </row>
    <row r="10" spans="1:19" s="7" customFormat="1" x14ac:dyDescent="0.35">
      <c r="A10" s="5"/>
    </row>
    <row r="11" spans="1:19" s="7" customFormat="1" x14ac:dyDescent="0.35">
      <c r="A11" s="5"/>
    </row>
    <row r="12" spans="1:19" s="7" customFormat="1" x14ac:dyDescent="0.35">
      <c r="A12" s="5"/>
    </row>
    <row r="13" spans="1:19" s="7" customFormat="1" x14ac:dyDescent="0.35">
      <c r="A13" s="5"/>
    </row>
    <row r="14" spans="1:19" s="7" customFormat="1" x14ac:dyDescent="0.35">
      <c r="A14" s="5"/>
    </row>
    <row r="15" spans="1:19" s="7" customFormat="1" x14ac:dyDescent="0.35">
      <c r="A15" s="5"/>
    </row>
    <row r="16" spans="1:19" s="7" customFormat="1" x14ac:dyDescent="0.35">
      <c r="A16" s="5"/>
    </row>
    <row r="17" spans="1:1" s="7" customFormat="1" x14ac:dyDescent="0.35">
      <c r="A17" s="5"/>
    </row>
    <row r="18" spans="1:1" s="7" customFormat="1" x14ac:dyDescent="0.35">
      <c r="A18" s="5"/>
    </row>
    <row r="19" spans="1:1" s="7" customFormat="1" x14ac:dyDescent="0.35">
      <c r="A19" s="5"/>
    </row>
    <row r="20" spans="1:1" s="7" customFormat="1" x14ac:dyDescent="0.35">
      <c r="A20" s="5"/>
    </row>
    <row r="21" spans="1:1" s="7" customFormat="1" x14ac:dyDescent="0.35">
      <c r="A21" s="5"/>
    </row>
    <row r="22" spans="1:1" s="7" customFormat="1" x14ac:dyDescent="0.35">
      <c r="A22" s="5"/>
    </row>
    <row r="23" spans="1:1" s="7" customFormat="1" x14ac:dyDescent="0.35">
      <c r="A23" s="5"/>
    </row>
    <row r="24" spans="1:1" s="7" customFormat="1" x14ac:dyDescent="0.35">
      <c r="A24" s="5"/>
    </row>
    <row r="25" spans="1:1" s="7" customFormat="1" x14ac:dyDescent="0.35">
      <c r="A25" s="5"/>
    </row>
    <row r="26" spans="1:1" s="7" customFormat="1" x14ac:dyDescent="0.35">
      <c r="A26" s="5"/>
    </row>
    <row r="27" spans="1:1" s="7" customFormat="1" x14ac:dyDescent="0.35">
      <c r="A27" s="5"/>
    </row>
    <row r="28" spans="1:1" s="7" customFormat="1" x14ac:dyDescent="0.35">
      <c r="A28" s="5"/>
    </row>
    <row r="29" spans="1:1" s="7" customFormat="1" x14ac:dyDescent="0.35">
      <c r="A29" s="5"/>
    </row>
    <row r="30" spans="1:1" s="7" customFormat="1" x14ac:dyDescent="0.35">
      <c r="A30" s="5"/>
    </row>
    <row r="31" spans="1:1" s="7" customFormat="1" x14ac:dyDescent="0.35">
      <c r="A31" s="5"/>
    </row>
    <row r="32" spans="1:1" s="7" customFormat="1" x14ac:dyDescent="0.35">
      <c r="A32" s="5"/>
    </row>
    <row r="33" spans="1:1" s="7" customFormat="1" x14ac:dyDescent="0.35">
      <c r="A33" s="5"/>
    </row>
    <row r="34" spans="1:1" s="7" customFormat="1" x14ac:dyDescent="0.35">
      <c r="A34" s="5"/>
    </row>
    <row r="35" spans="1:1" s="7" customFormat="1" x14ac:dyDescent="0.35">
      <c r="A35" s="5"/>
    </row>
    <row r="36" spans="1:1" s="7" customFormat="1" x14ac:dyDescent="0.35">
      <c r="A36" s="5"/>
    </row>
    <row r="37" spans="1:1" s="7" customFormat="1" x14ac:dyDescent="0.35">
      <c r="A37" s="5"/>
    </row>
    <row r="38" spans="1:1" s="7" customFormat="1" x14ac:dyDescent="0.35">
      <c r="A38" s="5"/>
    </row>
    <row r="39" spans="1:1" s="7" customFormat="1" x14ac:dyDescent="0.35">
      <c r="A39" s="5"/>
    </row>
    <row r="40" spans="1:1" s="7" customFormat="1" x14ac:dyDescent="0.35">
      <c r="A40" s="5"/>
    </row>
    <row r="41" spans="1:1" s="7" customFormat="1" x14ac:dyDescent="0.35">
      <c r="A41" s="5"/>
    </row>
    <row r="42" spans="1:1" s="7" customFormat="1" x14ac:dyDescent="0.35">
      <c r="A42" s="5"/>
    </row>
    <row r="43" spans="1:1" s="7" customFormat="1" x14ac:dyDescent="0.35">
      <c r="A43" s="5"/>
    </row>
    <row r="44" spans="1:1" s="7" customFormat="1" x14ac:dyDescent="0.35">
      <c r="A44" s="5"/>
    </row>
    <row r="45" spans="1:1" s="7" customFormat="1" x14ac:dyDescent="0.35">
      <c r="A45" s="5"/>
    </row>
    <row r="46" spans="1:1" s="7" customFormat="1" x14ac:dyDescent="0.35">
      <c r="A46" s="5"/>
    </row>
    <row r="47" spans="1:1" s="7" customFormat="1" x14ac:dyDescent="0.35">
      <c r="A47" s="5"/>
    </row>
    <row r="48" spans="1:1" s="7" customFormat="1" x14ac:dyDescent="0.35">
      <c r="A48" s="5"/>
    </row>
    <row r="49" spans="1:1" s="7" customFormat="1" x14ac:dyDescent="0.35">
      <c r="A49" s="5"/>
    </row>
    <row r="50" spans="1:1" s="7" customFormat="1" x14ac:dyDescent="0.35">
      <c r="A50" s="5"/>
    </row>
    <row r="51" spans="1:1" s="7" customFormat="1" x14ac:dyDescent="0.35">
      <c r="A51" s="5"/>
    </row>
    <row r="52" spans="1:1" s="7" customFormat="1" x14ac:dyDescent="0.35">
      <c r="A52" s="5"/>
    </row>
    <row r="53" spans="1:1" s="7" customFormat="1" x14ac:dyDescent="0.35">
      <c r="A53" s="5"/>
    </row>
    <row r="54" spans="1:1" s="7" customFormat="1" x14ac:dyDescent="0.35">
      <c r="A54" s="5"/>
    </row>
    <row r="55" spans="1:1" s="7" customFormat="1" x14ac:dyDescent="0.35">
      <c r="A55" s="5"/>
    </row>
    <row r="56" spans="1:1" s="7" customFormat="1" x14ac:dyDescent="0.35">
      <c r="A56" s="5"/>
    </row>
    <row r="57" spans="1:1" s="7" customFormat="1" x14ac:dyDescent="0.35">
      <c r="A57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149F-9460-406C-ACD3-15692C788873}">
  <dimension ref="A1:S57"/>
  <sheetViews>
    <sheetView showGridLines="0" showRowColHeaders="0" tabSelected="1" zoomScale="80" zoomScaleNormal="80" workbookViewId="0">
      <selection activeCell="W2" sqref="W2"/>
    </sheetView>
  </sheetViews>
  <sheetFormatPr defaultRowHeight="14.5" x14ac:dyDescent="0.35"/>
  <cols>
    <col min="1" max="1" width="25.90625" style="5" customWidth="1"/>
    <col min="2" max="2" width="3.54296875" customWidth="1"/>
    <col min="12" max="12" width="6.54296875" customWidth="1"/>
  </cols>
  <sheetData>
    <row r="1" spans="1:19" ht="13" customHeight="1" x14ac:dyDescent="0.35"/>
    <row r="2" spans="1:19" ht="39" customHeight="1" thickBot="1" x14ac:dyDescent="0.65">
      <c r="C2" s="19" t="s">
        <v>317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8"/>
    </row>
    <row r="3" spans="1:19" ht="27" customHeight="1" thickTop="1" x14ac:dyDescent="0.35"/>
    <row r="4" spans="1:19" s="7" customFormat="1" ht="8.25" customHeight="1" x14ac:dyDescent="0.35">
      <c r="A4" s="5"/>
    </row>
    <row r="5" spans="1:19" s="7" customFormat="1" ht="7.5" customHeight="1" x14ac:dyDescent="0.35">
      <c r="A5" s="5"/>
    </row>
    <row r="6" spans="1:19" s="7" customFormat="1" ht="10.5" customHeight="1" x14ac:dyDescent="0.35">
      <c r="A6" s="5"/>
    </row>
    <row r="7" spans="1:19" s="7" customFormat="1" ht="9.75" customHeight="1" x14ac:dyDescent="0.35">
      <c r="A7" s="5"/>
    </row>
    <row r="8" spans="1:19" s="7" customFormat="1" ht="33" customHeight="1" x14ac:dyDescent="0.35">
      <c r="A8" s="5"/>
    </row>
    <row r="9" spans="1:19" s="7" customFormat="1" x14ac:dyDescent="0.35">
      <c r="A9" s="5"/>
    </row>
    <row r="10" spans="1:19" s="7" customFormat="1" x14ac:dyDescent="0.35">
      <c r="A10" s="5"/>
    </row>
    <row r="11" spans="1:19" s="7" customFormat="1" x14ac:dyDescent="0.35">
      <c r="A11" s="5"/>
    </row>
    <row r="12" spans="1:19" s="7" customFormat="1" x14ac:dyDescent="0.35">
      <c r="A12" s="5"/>
    </row>
    <row r="13" spans="1:19" s="7" customFormat="1" x14ac:dyDescent="0.35">
      <c r="A13" s="5"/>
    </row>
    <row r="14" spans="1:19" s="7" customFormat="1" x14ac:dyDescent="0.35">
      <c r="A14" s="5"/>
    </row>
    <row r="15" spans="1:19" s="7" customFormat="1" x14ac:dyDescent="0.35">
      <c r="A15" s="5"/>
    </row>
    <row r="16" spans="1:19" s="7" customFormat="1" x14ac:dyDescent="0.35">
      <c r="A16" s="5"/>
    </row>
    <row r="17" spans="1:1" s="7" customFormat="1" x14ac:dyDescent="0.35">
      <c r="A17" s="5"/>
    </row>
    <row r="18" spans="1:1" s="7" customFormat="1" x14ac:dyDescent="0.35">
      <c r="A18" s="5"/>
    </row>
    <row r="19" spans="1:1" s="7" customFormat="1" x14ac:dyDescent="0.35">
      <c r="A19" s="5"/>
    </row>
    <row r="20" spans="1:1" s="7" customFormat="1" x14ac:dyDescent="0.35">
      <c r="A20" s="5"/>
    </row>
    <row r="21" spans="1:1" s="7" customFormat="1" x14ac:dyDescent="0.35">
      <c r="A21" s="5"/>
    </row>
    <row r="22" spans="1:1" s="7" customFormat="1" x14ac:dyDescent="0.35">
      <c r="A22" s="5"/>
    </row>
    <row r="23" spans="1:1" s="7" customFormat="1" x14ac:dyDescent="0.35">
      <c r="A23" s="5"/>
    </row>
    <row r="24" spans="1:1" s="7" customFormat="1" x14ac:dyDescent="0.35">
      <c r="A24" s="5"/>
    </row>
    <row r="25" spans="1:1" s="7" customFormat="1" x14ac:dyDescent="0.35">
      <c r="A25" s="5"/>
    </row>
    <row r="26" spans="1:1" s="7" customFormat="1" x14ac:dyDescent="0.35">
      <c r="A26" s="5"/>
    </row>
    <row r="27" spans="1:1" s="7" customFormat="1" x14ac:dyDescent="0.35">
      <c r="A27" s="5"/>
    </row>
    <row r="28" spans="1:1" s="7" customFormat="1" x14ac:dyDescent="0.35">
      <c r="A28" s="5"/>
    </row>
    <row r="29" spans="1:1" s="7" customFormat="1" x14ac:dyDescent="0.35">
      <c r="A29" s="5"/>
    </row>
    <row r="30" spans="1:1" s="7" customFormat="1" x14ac:dyDescent="0.35">
      <c r="A30" s="5"/>
    </row>
    <row r="31" spans="1:1" s="7" customFormat="1" x14ac:dyDescent="0.35">
      <c r="A31" s="5"/>
    </row>
    <row r="32" spans="1:1" s="7" customFormat="1" x14ac:dyDescent="0.35">
      <c r="A32" s="5"/>
    </row>
    <row r="33" spans="1:1" s="7" customFormat="1" x14ac:dyDescent="0.35">
      <c r="A33" s="5"/>
    </row>
    <row r="34" spans="1:1" s="7" customFormat="1" x14ac:dyDescent="0.35">
      <c r="A34" s="5"/>
    </row>
    <row r="35" spans="1:1" s="7" customFormat="1" x14ac:dyDescent="0.35">
      <c r="A35" s="5"/>
    </row>
    <row r="36" spans="1:1" s="7" customFormat="1" x14ac:dyDescent="0.35">
      <c r="A36" s="5"/>
    </row>
    <row r="37" spans="1:1" s="7" customFormat="1" x14ac:dyDescent="0.35">
      <c r="A37" s="5"/>
    </row>
    <row r="38" spans="1:1" s="7" customFormat="1" x14ac:dyDescent="0.35">
      <c r="A38" s="5"/>
    </row>
    <row r="39" spans="1:1" s="7" customFormat="1" x14ac:dyDescent="0.35">
      <c r="A39" s="5"/>
    </row>
    <row r="40" spans="1:1" s="7" customFormat="1" x14ac:dyDescent="0.35">
      <c r="A40" s="5"/>
    </row>
    <row r="41" spans="1:1" s="7" customFormat="1" x14ac:dyDescent="0.35">
      <c r="A41" s="5"/>
    </row>
    <row r="42" spans="1:1" s="7" customFormat="1" x14ac:dyDescent="0.35">
      <c r="A42" s="5"/>
    </row>
    <row r="43" spans="1:1" s="7" customFormat="1" x14ac:dyDescent="0.35">
      <c r="A43" s="5"/>
    </row>
    <row r="44" spans="1:1" s="7" customFormat="1" x14ac:dyDescent="0.35">
      <c r="A44" s="5"/>
    </row>
    <row r="45" spans="1:1" s="7" customFormat="1" x14ac:dyDescent="0.35">
      <c r="A45" s="5"/>
    </row>
    <row r="46" spans="1:1" s="7" customFormat="1" x14ac:dyDescent="0.35">
      <c r="A46" s="5"/>
    </row>
    <row r="47" spans="1:1" s="7" customFormat="1" x14ac:dyDescent="0.35">
      <c r="A47" s="5"/>
    </row>
    <row r="48" spans="1:1" s="7" customFormat="1" x14ac:dyDescent="0.35">
      <c r="A48" s="5"/>
    </row>
    <row r="49" spans="1:1" s="7" customFormat="1" x14ac:dyDescent="0.35">
      <c r="A49" s="5"/>
    </row>
    <row r="50" spans="1:1" s="7" customFormat="1" x14ac:dyDescent="0.35">
      <c r="A50" s="5"/>
    </row>
    <row r="51" spans="1:1" s="7" customFormat="1" x14ac:dyDescent="0.35">
      <c r="A51" s="5"/>
    </row>
    <row r="52" spans="1:1" s="7" customFormat="1" x14ac:dyDescent="0.35">
      <c r="A52" s="5"/>
    </row>
    <row r="53" spans="1:1" s="7" customFormat="1" x14ac:dyDescent="0.35">
      <c r="A53" s="5"/>
    </row>
    <row r="54" spans="1:1" s="7" customFormat="1" x14ac:dyDescent="0.35">
      <c r="A54" s="5"/>
    </row>
    <row r="55" spans="1:1" s="7" customFormat="1" x14ac:dyDescent="0.35">
      <c r="A55" s="5"/>
    </row>
    <row r="56" spans="1:1" s="7" customFormat="1" x14ac:dyDescent="0.35">
      <c r="A56" s="5"/>
    </row>
    <row r="57" spans="1:1" s="7" customFormat="1" x14ac:dyDescent="0.35">
      <c r="A57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A̳ssets</vt:lpstr>
      <vt:lpstr>B̳ases</vt:lpstr>
      <vt:lpstr>Detalhes1</vt:lpstr>
      <vt:lpstr>Detalhes2</vt:lpstr>
      <vt:lpstr>C̳álculos</vt:lpstr>
      <vt:lpstr>D̳ashboard</vt:lpstr>
      <vt:lpstr>D̳ashboard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Betoven Gregorio</cp:lastModifiedBy>
  <dcterms:created xsi:type="dcterms:W3CDTF">2024-12-19T13:13:10Z</dcterms:created>
  <dcterms:modified xsi:type="dcterms:W3CDTF">2026-07-03T09:36:35Z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